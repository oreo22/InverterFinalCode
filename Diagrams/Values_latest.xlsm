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Oriana\Desktop\InverterFinalCode\Diagrams\"/>
    </mc:Choice>
  </mc:AlternateContent>
  <xr:revisionPtr revIDLastSave="0" documentId="13_ncr:1_{C592B0F3-9F03-4268-BB7C-6D086040394B}" xr6:coauthVersionLast="34" xr6:coauthVersionMax="34" xr10:uidLastSave="{00000000-0000-0000-0000-000000000000}"/>
  <bookViews>
    <workbookView minimized="1" xWindow="0" yWindow="0" windowWidth="23040" windowHeight="8640" activeTab="6" xr2:uid="{00000000-000D-0000-FFFF-FFFF00000000}"/>
  </bookViews>
  <sheets>
    <sheet name="Sheet1" sheetId="1" r:id="rId1"/>
    <sheet name="volt-var_test1" sheetId="4" r:id="rId2"/>
    <sheet name="volt-var_test2" sheetId="7" r:id="rId3"/>
    <sheet name="Sheet9" sheetId="9" r:id="rId4"/>
    <sheet name="Sheet8" sheetId="8" r:id="rId5"/>
    <sheet name="Sheet6" sheetId="6" r:id="rId6"/>
    <sheet name="ChopperCases" sheetId="10" r:id="rId7"/>
    <sheet name="Sheet5" sheetId="5" r:id="rId8"/>
  </sheets>
  <definedNames>
    <definedName name="ExternalData_1" localSheetId="6" hidden="1">ChopperCases!$B$2:$B$26</definedName>
    <definedName name="ExternalData_1" localSheetId="3" hidden="1">Sheet9!$A$1:$L$959</definedName>
    <definedName name="ExternalData_1" localSheetId="2" hidden="1">'volt-var_test2'!$A$1:$L$403</definedName>
  </definedNames>
  <calcPr calcId="179017"/>
  <fileRecoveryPr repairLoad="1"/>
</workbook>
</file>

<file path=xl/calcChain.xml><?xml version="1.0" encoding="utf-8"?>
<calcChain xmlns="http://schemas.openxmlformats.org/spreadsheetml/2006/main">
  <c r="R4" i="10" l="1"/>
  <c r="R6" i="10"/>
  <c r="R7" i="10"/>
  <c r="R5" i="10"/>
  <c r="G3" i="10" l="1"/>
  <c r="G4" i="10"/>
  <c r="G5" i="10"/>
  <c r="G6" i="10"/>
  <c r="G7" i="10"/>
  <c r="G8" i="10"/>
  <c r="G9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10" i="10"/>
  <c r="M1" i="10"/>
  <c r="L1" i="10"/>
  <c r="F27" i="10"/>
  <c r="J26" i="10"/>
  <c r="J5" i="10"/>
  <c r="J6" i="10"/>
  <c r="J9" i="10"/>
  <c r="J10" i="10"/>
  <c r="J13" i="10"/>
  <c r="J14" i="10"/>
  <c r="J17" i="10"/>
  <c r="J18" i="10"/>
  <c r="J21" i="10"/>
  <c r="J22" i="10"/>
  <c r="J3" i="10"/>
  <c r="F5" i="10"/>
  <c r="F6" i="10"/>
  <c r="F9" i="10"/>
  <c r="F10" i="10"/>
  <c r="F13" i="10"/>
  <c r="F14" i="10"/>
  <c r="F17" i="10"/>
  <c r="F18" i="10"/>
  <c r="F21" i="10"/>
  <c r="F22" i="10"/>
  <c r="F25" i="10"/>
  <c r="F26" i="10"/>
  <c r="G1" i="10"/>
  <c r="E4" i="10" s="1"/>
  <c r="E5" i="10" s="1"/>
  <c r="E6" i="10" s="1"/>
  <c r="E7" i="10" s="1"/>
  <c r="E8" i="10" s="1"/>
  <c r="E9" i="10" s="1"/>
  <c r="E10" i="10" s="1"/>
  <c r="E11" i="10" s="1"/>
  <c r="E12" i="10" s="1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A4" i="10"/>
  <c r="C4" i="10" s="1"/>
  <c r="A5" i="10"/>
  <c r="C5" i="10" s="1"/>
  <c r="A6" i="10"/>
  <c r="C6" i="10" s="1"/>
  <c r="A8" i="10"/>
  <c r="C8" i="10" s="1"/>
  <c r="A9" i="10"/>
  <c r="C9" i="10" s="1"/>
  <c r="A10" i="10"/>
  <c r="C10" i="10" s="1"/>
  <c r="A12" i="10"/>
  <c r="C12" i="10" s="1"/>
  <c r="A13" i="10"/>
  <c r="C13" i="10" s="1"/>
  <c r="A14" i="10"/>
  <c r="C14" i="10" s="1"/>
  <c r="A16" i="10"/>
  <c r="C16" i="10" s="1"/>
  <c r="A17" i="10"/>
  <c r="C17" i="10" s="1"/>
  <c r="A18" i="10"/>
  <c r="C18" i="10" s="1"/>
  <c r="A20" i="10"/>
  <c r="C20" i="10" s="1"/>
  <c r="A21" i="10"/>
  <c r="C21" i="10" s="1"/>
  <c r="A22" i="10"/>
  <c r="C22" i="10" s="1"/>
  <c r="A24" i="10"/>
  <c r="C24" i="10" s="1"/>
  <c r="A25" i="10"/>
  <c r="C25" i="10" s="1"/>
  <c r="A26" i="10"/>
  <c r="C26" i="10" s="1"/>
  <c r="A1" i="10"/>
  <c r="J7" i="10" s="1"/>
  <c r="A3" i="10"/>
  <c r="C3" i="10" s="1"/>
  <c r="A23" i="10" l="1"/>
  <c r="C23" i="10" s="1"/>
  <c r="A19" i="10"/>
  <c r="C19" i="10" s="1"/>
  <c r="A15" i="10"/>
  <c r="C15" i="10" s="1"/>
  <c r="A11" i="10"/>
  <c r="C11" i="10" s="1"/>
  <c r="A7" i="10"/>
  <c r="C7" i="10" s="1"/>
  <c r="F3" i="10"/>
  <c r="F24" i="10"/>
  <c r="F20" i="10"/>
  <c r="F16" i="10"/>
  <c r="F12" i="10"/>
  <c r="F8" i="10"/>
  <c r="F4" i="10"/>
  <c r="J24" i="10"/>
  <c r="J20" i="10"/>
  <c r="J16" i="10"/>
  <c r="J12" i="10"/>
  <c r="J8" i="10"/>
  <c r="J4" i="10"/>
  <c r="F23" i="10"/>
  <c r="F19" i="10"/>
  <c r="F15" i="10"/>
  <c r="F11" i="10"/>
  <c r="F7" i="10"/>
  <c r="I25" i="10"/>
  <c r="J25" i="10" s="1"/>
  <c r="J23" i="10"/>
  <c r="J19" i="10"/>
  <c r="J15" i="10"/>
  <c r="J11" i="10"/>
  <c r="A76" i="1"/>
  <c r="D76" i="1" s="1"/>
  <c r="A75" i="1"/>
  <c r="D75" i="1" s="1"/>
  <c r="A74" i="1"/>
  <c r="D74" i="1" s="1"/>
  <c r="A73" i="1"/>
  <c r="D73" i="1" s="1"/>
  <c r="E72" i="1" s="1"/>
  <c r="D72" i="1"/>
  <c r="A72" i="1"/>
  <c r="D71" i="1"/>
  <c r="A71" i="1"/>
  <c r="D70" i="1"/>
  <c r="A70" i="1"/>
  <c r="D69" i="1"/>
  <c r="A69" i="1"/>
  <c r="D68" i="1"/>
  <c r="A68" i="1"/>
  <c r="B67" i="1"/>
  <c r="A67" i="1" s="1"/>
  <c r="D67" i="1" s="1"/>
  <c r="E67" i="1" s="1"/>
  <c r="D66" i="1"/>
  <c r="A66" i="1"/>
  <c r="D65" i="1"/>
  <c r="A65" i="1"/>
  <c r="D64" i="1"/>
  <c r="A64" i="1"/>
  <c r="A63" i="1"/>
  <c r="D63" i="1" s="1"/>
  <c r="E63" i="1" s="1"/>
  <c r="D62" i="1"/>
  <c r="A62" i="1"/>
  <c r="A61" i="1"/>
  <c r="D61" i="1" s="1"/>
  <c r="D60" i="1"/>
  <c r="A60" i="1"/>
  <c r="A59" i="1"/>
  <c r="D59" i="1" s="1"/>
  <c r="B58" i="1"/>
  <c r="A58" i="1"/>
  <c r="D58" i="1" s="1"/>
  <c r="E58" i="1" s="1"/>
  <c r="D57" i="1"/>
  <c r="A57" i="1"/>
  <c r="A56" i="1"/>
  <c r="D56" i="1" s="1"/>
  <c r="D55" i="1"/>
  <c r="A55" i="1"/>
  <c r="D54" i="1"/>
  <c r="F55" i="1" s="1"/>
  <c r="A54" i="1"/>
  <c r="A53" i="1"/>
  <c r="D53" i="1" s="1"/>
  <c r="E53" i="1" s="1"/>
  <c r="D49" i="1"/>
  <c r="E48" i="1"/>
  <c r="D48" i="1"/>
  <c r="D47" i="1"/>
  <c r="D46" i="1"/>
  <c r="E46" i="1" s="1"/>
  <c r="D45" i="1"/>
  <c r="E45" i="1" s="1"/>
  <c r="D44" i="1"/>
  <c r="D43" i="1"/>
  <c r="D42" i="1"/>
  <c r="E41" i="1"/>
  <c r="D41" i="1"/>
  <c r="D40" i="1"/>
  <c r="D39" i="1"/>
  <c r="D38" i="1"/>
  <c r="D37" i="1"/>
  <c r="E37" i="1" s="1"/>
  <c r="D36" i="1"/>
  <c r="D35" i="1"/>
  <c r="D34" i="1"/>
  <c r="D33" i="1"/>
  <c r="E32" i="1"/>
  <c r="D32" i="1"/>
  <c r="D31" i="1"/>
  <c r="D30" i="1"/>
  <c r="E30" i="1" s="1"/>
  <c r="H27" i="1"/>
  <c r="E27" i="1"/>
  <c r="D27" i="1"/>
  <c r="C27" i="1"/>
  <c r="G26" i="1"/>
  <c r="G27" i="1" s="1"/>
  <c r="E26" i="1"/>
  <c r="C24" i="1"/>
  <c r="C23" i="1"/>
  <c r="C22" i="1"/>
  <c r="C21" i="1"/>
  <c r="J20" i="1"/>
  <c r="I20" i="1"/>
  <c r="C20" i="1"/>
  <c r="J19" i="1"/>
  <c r="I19" i="1"/>
  <c r="C19" i="1"/>
  <c r="J18" i="1"/>
  <c r="I18" i="1"/>
  <c r="C18" i="1"/>
  <c r="J17" i="1"/>
  <c r="I17" i="1"/>
  <c r="C17" i="1"/>
  <c r="J16" i="1"/>
  <c r="I16" i="1"/>
  <c r="C16" i="1"/>
  <c r="J15" i="1"/>
  <c r="I15" i="1"/>
  <c r="C15" i="1"/>
  <c r="D13" i="1" s="1"/>
  <c r="J14" i="1"/>
  <c r="I14" i="1"/>
  <c r="C14" i="1"/>
  <c r="J13" i="1"/>
  <c r="I13" i="1"/>
  <c r="C13" i="1"/>
  <c r="J12" i="1"/>
  <c r="I12" i="1"/>
  <c r="J11" i="1"/>
  <c r="I11" i="1"/>
  <c r="C11" i="1"/>
  <c r="J10" i="1"/>
  <c r="I10" i="1"/>
  <c r="C10" i="1"/>
  <c r="J9" i="1"/>
  <c r="I9" i="1"/>
  <c r="C9" i="1"/>
  <c r="J8" i="1"/>
  <c r="I8" i="1"/>
  <c r="C8" i="1"/>
  <c r="J7" i="1"/>
  <c r="I7" i="1"/>
  <c r="C7" i="1"/>
  <c r="J6" i="1"/>
  <c r="I6" i="1"/>
  <c r="C6" i="1"/>
  <c r="J5" i="1"/>
  <c r="I5" i="1"/>
  <c r="C5" i="1"/>
  <c r="J4" i="1"/>
  <c r="I4" i="1"/>
  <c r="C4" i="1"/>
  <c r="M3" i="1"/>
  <c r="J3" i="1"/>
  <c r="I3" i="1"/>
  <c r="C3" i="1"/>
  <c r="I2" i="1"/>
  <c r="C2" i="1"/>
  <c r="D11" i="1" s="1"/>
  <c r="J27" i="10" l="1"/>
  <c r="I3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049CB1D-D17C-4A89-A83A-4A41A21F3F0C}" keepAlive="1" name="Query - Table2" description="Connection to the 'Table2' query in the workbook." type="5" refreshedVersion="6" background="1" saveData="1">
    <dbPr connection="Provider=Microsoft.Mashup.OleDb.1;Data Source=$Workbook$;Location=Table2;Extended Properties=&quot;&quot;" command="SELECT * FROM [Table2]"/>
  </connection>
  <connection id="2" xr16:uid="{6F63F278-4F25-45C1-A4AF-0A92BC22E01F}" keepAlive="1" name="Query - volt-var_7-19" description="Connection to the 'volt-var_7-19' query in the workbook." type="5" refreshedVersion="6" background="1" saveData="1">
    <dbPr connection="Provider=Microsoft.Mashup.OleDb.1;Data Source=$Workbook$;Location=volt-var_7-19;Extended Properties=&quot;&quot;" command="SELECT * FROM [volt-var_7-19]"/>
  </connection>
  <connection id="3" xr16:uid="{F62F8362-351D-4A5D-96A8-BF5367ADE330}" keepAlive="1" name="Query - volt-var_no_chopper" description="Connection to the 'volt-var_no_chopper' query in the workbook." type="5" refreshedVersion="6" background="1" saveData="1">
    <dbPr connection="Provider=Microsoft.Mashup.OleDb.1;Data Source=$Workbook$;Location=volt-var_no_chopper;Extended Properties=&quot;&quot;" command="SELECT * FROM [volt-var_no_chopper]"/>
  </connection>
</connections>
</file>

<file path=xl/sharedStrings.xml><?xml version="1.0" encoding="utf-8"?>
<sst xmlns="http://schemas.openxmlformats.org/spreadsheetml/2006/main" count="3120" uniqueCount="37">
  <si>
    <t>ADC Calculations</t>
  </si>
  <si>
    <t>Actual RMS</t>
  </si>
  <si>
    <t>Factor</t>
  </si>
  <si>
    <t>write a fxn for custom scaling to take care of the scaling error</t>
  </si>
  <si>
    <t>ADC 500</t>
  </si>
  <si>
    <t>ADC 300</t>
  </si>
  <si>
    <t>Vpcc</t>
  </si>
  <si>
    <t>Vinv</t>
  </si>
  <si>
    <t>Date</t>
  </si>
  <si>
    <t>Time</t>
  </si>
  <si>
    <t>Voltage L1N Avg</t>
  </si>
  <si>
    <t>Peak Voltage L1N Avg</t>
  </si>
  <si>
    <t>Current L1 Avg</t>
  </si>
  <si>
    <t>Current N Avg</t>
  </si>
  <si>
    <t>Peak Current L1 Avg</t>
  </si>
  <si>
    <t>Peak Current N Avg</t>
  </si>
  <si>
    <t>Frequency Avg</t>
  </si>
  <si>
    <t>Column1</t>
  </si>
  <si>
    <t>18/07/2018</t>
  </si>
  <si>
    <t/>
  </si>
  <si>
    <t>Apparent Power</t>
  </si>
  <si>
    <t xml:space="preserve">Non-regulated Voltage Avg							</t>
  </si>
  <si>
    <t xml:space="preserve">Regulated Voltage Avg						</t>
  </si>
  <si>
    <t>Voltage NG Avg</t>
  </si>
  <si>
    <t>Peak Voltage NG Avg</t>
  </si>
  <si>
    <t>19/07/2018</t>
  </si>
  <si>
    <t>Chopper Avg Voltage</t>
  </si>
  <si>
    <t>Qref only</t>
  </si>
  <si>
    <t>P ctrl</t>
  </si>
  <si>
    <t>PI Ctrl</t>
  </si>
  <si>
    <t>Target</t>
  </si>
  <si>
    <t>40,40,40,40,100,500,1000,1161,1273,1375,1546,1714,1980,1980,1980,1980,1980,1980,1768,1732,1000,500,100,40};</t>
  </si>
  <si>
    <t>PWM Values</t>
  </si>
  <si>
    <t>Duty Cycle</t>
  </si>
  <si>
    <t>Test Case</t>
  </si>
  <si>
    <t>Resistance</t>
  </si>
  <si>
    <t xml:space="preserve">Interval: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</si>
</sst>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"/>
    <numFmt numFmtId="165" formatCode="[$-F400]h:mm:ss\ AM/PM"/>
  </numFmts>
  <fonts count="4" x14ac:knownFonts="1">
    <font>
      <sz val="11"/>
      <color theme="1"/>
      <name val="Calibri"/>
      <family val="2"/>
      <scheme val="minor"/>
    </font>
    <font>
      <sz val="14"/>
      <color rgb="FF000000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vertical="center" wrapText="1"/>
    </xf>
    <xf numFmtId="2" fontId="0" fillId="0" borderId="0" xfId="0" applyNumberFormat="1"/>
    <xf numFmtId="11" fontId="0" fillId="0" borderId="0" xfId="0" applyNumberFormat="1"/>
    <xf numFmtId="164" fontId="0" fillId="0" borderId="0" xfId="0" applyNumberFormat="1"/>
    <xf numFmtId="0" fontId="0" fillId="0" borderId="0" xfId="0" applyNumberFormat="1"/>
    <xf numFmtId="165" fontId="0" fillId="0" borderId="0" xfId="0" applyNumberFormat="1"/>
    <xf numFmtId="0" fontId="2" fillId="2" borderId="1" xfId="0" applyFont="1" applyFill="1" applyBorder="1"/>
    <xf numFmtId="0" fontId="2" fillId="2" borderId="2" xfId="0" applyFont="1" applyFill="1" applyBorder="1"/>
    <xf numFmtId="0" fontId="0" fillId="3" borderId="1" xfId="0" applyNumberFormat="1" applyFont="1" applyFill="1" applyBorder="1"/>
    <xf numFmtId="165" fontId="0" fillId="3" borderId="2" xfId="0" applyNumberFormat="1" applyFont="1" applyFill="1" applyBorder="1"/>
    <xf numFmtId="0" fontId="0" fillId="3" borderId="2" xfId="0" applyFont="1" applyFill="1" applyBorder="1"/>
    <xf numFmtId="0" fontId="0" fillId="0" borderId="1" xfId="0" applyNumberFormat="1" applyFont="1" applyBorder="1"/>
    <xf numFmtId="165" fontId="0" fillId="0" borderId="2" xfId="0" applyNumberFormat="1" applyFont="1" applyBorder="1"/>
    <xf numFmtId="0" fontId="0" fillId="0" borderId="2" xfId="0" applyFont="1" applyBorder="1"/>
    <xf numFmtId="165" fontId="2" fillId="2" borderId="2" xfId="0" applyNumberFormat="1" applyFont="1" applyFill="1" applyBorder="1"/>
    <xf numFmtId="0" fontId="3" fillId="0" borderId="0" xfId="0" applyFont="1"/>
    <xf numFmtId="0" fontId="0" fillId="0" borderId="0" xfId="0" applyAlignment="1">
      <alignment wrapText="1"/>
    </xf>
  </cellXfs>
  <cellStyles count="1">
    <cellStyle name="Normal" xfId="0" builtinId="0"/>
  </cellStyles>
  <dxfs count="7">
    <dxf>
      <numFmt numFmtId="0" formatCode="General"/>
    </dxf>
    <dxf>
      <numFmt numFmtId="0" formatCode="General"/>
    </dxf>
    <dxf>
      <numFmt numFmtId="165" formatCode="[$-F400]h:mm:ss\ AM/PM"/>
    </dxf>
    <dxf>
      <numFmt numFmtId="0" formatCode="General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Volt-Var Instability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'volt-var_test1'!$C$1</c:f>
              <c:strCache>
                <c:ptCount val="1"/>
                <c:pt idx="0">
                  <c:v>Non-regulated Voltage Avg							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'volt-var_test1'!$B$2:$B$92</c:f>
              <c:numCache>
                <c:formatCode>[$-F400]h:mm:ss\ AM/PM</c:formatCode>
                <c:ptCount val="91"/>
                <c:pt idx="0">
                  <c:v>0.81406358796296296</c:v>
                </c:pt>
                <c:pt idx="1">
                  <c:v>0.814075162037037</c:v>
                </c:pt>
                <c:pt idx="2">
                  <c:v>0.81408673611111115</c:v>
                </c:pt>
                <c:pt idx="3">
                  <c:v>0.81409831018518519</c:v>
                </c:pt>
                <c:pt idx="4">
                  <c:v>0.81410988425925923</c:v>
                </c:pt>
                <c:pt idx="5">
                  <c:v>0.81412145833333338</c:v>
                </c:pt>
                <c:pt idx="6">
                  <c:v>0.81413303240740742</c:v>
                </c:pt>
                <c:pt idx="7">
                  <c:v>0.81414460648148146</c:v>
                </c:pt>
                <c:pt idx="8">
                  <c:v>0.81415618055555561</c:v>
                </c:pt>
                <c:pt idx="9">
                  <c:v>0.81416775462962965</c:v>
                </c:pt>
                <c:pt idx="10">
                  <c:v>0.81417932870370369</c:v>
                </c:pt>
                <c:pt idx="11">
                  <c:v>0.81419090277777773</c:v>
                </c:pt>
                <c:pt idx="12">
                  <c:v>0.81420247685185188</c:v>
                </c:pt>
                <c:pt idx="13">
                  <c:v>0.81421405092592591</c:v>
                </c:pt>
                <c:pt idx="14">
                  <c:v>0.81422562499999995</c:v>
                </c:pt>
                <c:pt idx="15">
                  <c:v>0.8142371990740741</c:v>
                </c:pt>
                <c:pt idx="16">
                  <c:v>0.81424877314814814</c:v>
                </c:pt>
                <c:pt idx="17">
                  <c:v>0.81426034722222218</c:v>
                </c:pt>
                <c:pt idx="18">
                  <c:v>0.81427192129629633</c:v>
                </c:pt>
                <c:pt idx="19">
                  <c:v>0.81428349537037037</c:v>
                </c:pt>
                <c:pt idx="20">
                  <c:v>0.81429506944444441</c:v>
                </c:pt>
                <c:pt idx="21">
                  <c:v>0.81430664351851856</c:v>
                </c:pt>
                <c:pt idx="22">
                  <c:v>0.8143182175925926</c:v>
                </c:pt>
                <c:pt idx="23">
                  <c:v>0.81432979166666664</c:v>
                </c:pt>
                <c:pt idx="24">
                  <c:v>0.81434136574074079</c:v>
                </c:pt>
                <c:pt idx="25">
                  <c:v>0.81435293981481482</c:v>
                </c:pt>
                <c:pt idx="26">
                  <c:v>0.81436451388888886</c:v>
                </c:pt>
                <c:pt idx="27">
                  <c:v>0.81437608796296301</c:v>
                </c:pt>
                <c:pt idx="28">
                  <c:v>0.81438766203703705</c:v>
                </c:pt>
                <c:pt idx="29">
                  <c:v>0.81439923611111109</c:v>
                </c:pt>
                <c:pt idx="30">
                  <c:v>0.81441081018518513</c:v>
                </c:pt>
                <c:pt idx="31">
                  <c:v>0.81442238425925928</c:v>
                </c:pt>
                <c:pt idx="32">
                  <c:v>0.81443395833333332</c:v>
                </c:pt>
                <c:pt idx="33">
                  <c:v>0.81444553240740736</c:v>
                </c:pt>
                <c:pt idx="34">
                  <c:v>0.81445710648148151</c:v>
                </c:pt>
                <c:pt idx="35">
                  <c:v>0.81446868055555555</c:v>
                </c:pt>
                <c:pt idx="36">
                  <c:v>0.81448025462962959</c:v>
                </c:pt>
                <c:pt idx="37">
                  <c:v>0.81449182870370374</c:v>
                </c:pt>
                <c:pt idx="38">
                  <c:v>0.81450340277777777</c:v>
                </c:pt>
                <c:pt idx="39">
                  <c:v>0.81451497685185181</c:v>
                </c:pt>
                <c:pt idx="40">
                  <c:v>0.81452655092592596</c:v>
                </c:pt>
                <c:pt idx="41">
                  <c:v>0.814538125</c:v>
                </c:pt>
                <c:pt idx="42">
                  <c:v>0.81454969907407404</c:v>
                </c:pt>
                <c:pt idx="43">
                  <c:v>0.81456127314814819</c:v>
                </c:pt>
                <c:pt idx="44">
                  <c:v>0.81457284722222223</c:v>
                </c:pt>
                <c:pt idx="45">
                  <c:v>0.81458442129629627</c:v>
                </c:pt>
                <c:pt idx="46">
                  <c:v>0.81459599537037042</c:v>
                </c:pt>
                <c:pt idx="47">
                  <c:v>0.81460756944444446</c:v>
                </c:pt>
                <c:pt idx="48">
                  <c:v>0.8146191435185185</c:v>
                </c:pt>
                <c:pt idx="49">
                  <c:v>0.81463071759259265</c:v>
                </c:pt>
                <c:pt idx="50">
                  <c:v>0.81464229166666668</c:v>
                </c:pt>
                <c:pt idx="51">
                  <c:v>0.81465386574074072</c:v>
                </c:pt>
                <c:pt idx="52">
                  <c:v>0.81466543981481476</c:v>
                </c:pt>
                <c:pt idx="53">
                  <c:v>0.81467701388888891</c:v>
                </c:pt>
                <c:pt idx="54">
                  <c:v>0.81468858796296295</c:v>
                </c:pt>
                <c:pt idx="55">
                  <c:v>0.81470016203703699</c:v>
                </c:pt>
                <c:pt idx="56">
                  <c:v>0.81471173611111114</c:v>
                </c:pt>
                <c:pt idx="57">
                  <c:v>0.81472331018518518</c:v>
                </c:pt>
                <c:pt idx="58">
                  <c:v>0.81473488425925922</c:v>
                </c:pt>
                <c:pt idx="59">
                  <c:v>0.81474645833333337</c:v>
                </c:pt>
                <c:pt idx="60">
                  <c:v>0.81475803240740741</c:v>
                </c:pt>
                <c:pt idx="61">
                  <c:v>0.81476960648148145</c:v>
                </c:pt>
                <c:pt idx="62">
                  <c:v>0.8147811805555556</c:v>
                </c:pt>
                <c:pt idx="63">
                  <c:v>0.81479275462962963</c:v>
                </c:pt>
                <c:pt idx="64">
                  <c:v>0.81480432870370367</c:v>
                </c:pt>
                <c:pt idx="65">
                  <c:v>0.81481590277777782</c:v>
                </c:pt>
                <c:pt idx="66">
                  <c:v>0.81482747685185186</c:v>
                </c:pt>
                <c:pt idx="67">
                  <c:v>0.8148390509259259</c:v>
                </c:pt>
                <c:pt idx="68">
                  <c:v>0.81485062500000005</c:v>
                </c:pt>
                <c:pt idx="69">
                  <c:v>0.81486219907407409</c:v>
                </c:pt>
                <c:pt idx="70">
                  <c:v>0.81487377314814813</c:v>
                </c:pt>
                <c:pt idx="71">
                  <c:v>0.81488534722222217</c:v>
                </c:pt>
                <c:pt idx="72">
                  <c:v>0.81489692129629632</c:v>
                </c:pt>
                <c:pt idx="73">
                  <c:v>0.81490849537037036</c:v>
                </c:pt>
                <c:pt idx="74">
                  <c:v>0.81492006944444439</c:v>
                </c:pt>
                <c:pt idx="75">
                  <c:v>0.81493164351851854</c:v>
                </c:pt>
                <c:pt idx="76">
                  <c:v>0.81494321759259258</c:v>
                </c:pt>
                <c:pt idx="77">
                  <c:v>0.81495479166666662</c:v>
                </c:pt>
                <c:pt idx="78">
                  <c:v>0.81496636574074077</c:v>
                </c:pt>
                <c:pt idx="79">
                  <c:v>0.81497793981481481</c:v>
                </c:pt>
                <c:pt idx="80">
                  <c:v>0.81498951388888885</c:v>
                </c:pt>
                <c:pt idx="81">
                  <c:v>0.815001087962963</c:v>
                </c:pt>
                <c:pt idx="82">
                  <c:v>0.81501266203703704</c:v>
                </c:pt>
                <c:pt idx="83">
                  <c:v>0.81502423611111108</c:v>
                </c:pt>
                <c:pt idx="84">
                  <c:v>0.81503581018518523</c:v>
                </c:pt>
                <c:pt idx="85">
                  <c:v>0.81504738425925927</c:v>
                </c:pt>
                <c:pt idx="86">
                  <c:v>0.81505787037037036</c:v>
                </c:pt>
                <c:pt idx="87">
                  <c:v>0.81506944444444451</c:v>
                </c:pt>
                <c:pt idx="88">
                  <c:v>0.81508101851851855</c:v>
                </c:pt>
                <c:pt idx="89">
                  <c:v>0.81509259259259259</c:v>
                </c:pt>
              </c:numCache>
            </c:numRef>
          </c:cat>
          <c:val>
            <c:numRef>
              <c:f>'volt-var_test1'!$C$2:$C$92</c:f>
              <c:numCache>
                <c:formatCode>General</c:formatCode>
                <c:ptCount val="91"/>
                <c:pt idx="0">
                  <c:v>4.3099999999999996</c:v>
                </c:pt>
                <c:pt idx="1">
                  <c:v>4.3099999999999996</c:v>
                </c:pt>
                <c:pt idx="2">
                  <c:v>4.51</c:v>
                </c:pt>
                <c:pt idx="3">
                  <c:v>4.78</c:v>
                </c:pt>
                <c:pt idx="4">
                  <c:v>4.78</c:v>
                </c:pt>
                <c:pt idx="5">
                  <c:v>4.78</c:v>
                </c:pt>
                <c:pt idx="6">
                  <c:v>4.78</c:v>
                </c:pt>
                <c:pt idx="7">
                  <c:v>4.97</c:v>
                </c:pt>
                <c:pt idx="8">
                  <c:v>5.26</c:v>
                </c:pt>
                <c:pt idx="9">
                  <c:v>5.26</c:v>
                </c:pt>
                <c:pt idx="10">
                  <c:v>5.26</c:v>
                </c:pt>
                <c:pt idx="11">
                  <c:v>5.26</c:v>
                </c:pt>
                <c:pt idx="12">
                  <c:v>5.3</c:v>
                </c:pt>
                <c:pt idx="13">
                  <c:v>5.37</c:v>
                </c:pt>
                <c:pt idx="14">
                  <c:v>5.37</c:v>
                </c:pt>
                <c:pt idx="15">
                  <c:v>5.37</c:v>
                </c:pt>
                <c:pt idx="16">
                  <c:v>5.37</c:v>
                </c:pt>
                <c:pt idx="17">
                  <c:v>5.39</c:v>
                </c:pt>
                <c:pt idx="18">
                  <c:v>5.43</c:v>
                </c:pt>
                <c:pt idx="19">
                  <c:v>5.43</c:v>
                </c:pt>
                <c:pt idx="20">
                  <c:v>5.43</c:v>
                </c:pt>
                <c:pt idx="21">
                  <c:v>5.43</c:v>
                </c:pt>
                <c:pt idx="22">
                  <c:v>5.44</c:v>
                </c:pt>
                <c:pt idx="23">
                  <c:v>5.47</c:v>
                </c:pt>
                <c:pt idx="24">
                  <c:v>5.47</c:v>
                </c:pt>
                <c:pt idx="25">
                  <c:v>5.47</c:v>
                </c:pt>
                <c:pt idx="26">
                  <c:v>5.47</c:v>
                </c:pt>
                <c:pt idx="27">
                  <c:v>5.5</c:v>
                </c:pt>
                <c:pt idx="28">
                  <c:v>5.55</c:v>
                </c:pt>
                <c:pt idx="29">
                  <c:v>5.55</c:v>
                </c:pt>
                <c:pt idx="30">
                  <c:v>5.55</c:v>
                </c:pt>
                <c:pt idx="31">
                  <c:v>5.55</c:v>
                </c:pt>
                <c:pt idx="32">
                  <c:v>5.57</c:v>
                </c:pt>
                <c:pt idx="33">
                  <c:v>5.61</c:v>
                </c:pt>
                <c:pt idx="34">
                  <c:v>5.61</c:v>
                </c:pt>
                <c:pt idx="35">
                  <c:v>5.61</c:v>
                </c:pt>
                <c:pt idx="36">
                  <c:v>5.61</c:v>
                </c:pt>
                <c:pt idx="37">
                  <c:v>5.63</c:v>
                </c:pt>
                <c:pt idx="38">
                  <c:v>5.67</c:v>
                </c:pt>
                <c:pt idx="39">
                  <c:v>5.67</c:v>
                </c:pt>
                <c:pt idx="40">
                  <c:v>5.67</c:v>
                </c:pt>
                <c:pt idx="41">
                  <c:v>5.67</c:v>
                </c:pt>
                <c:pt idx="42">
                  <c:v>5.67</c:v>
                </c:pt>
                <c:pt idx="43">
                  <c:v>5.67</c:v>
                </c:pt>
                <c:pt idx="44">
                  <c:v>5.67</c:v>
                </c:pt>
                <c:pt idx="45">
                  <c:v>5.67</c:v>
                </c:pt>
                <c:pt idx="46">
                  <c:v>5.67</c:v>
                </c:pt>
                <c:pt idx="47">
                  <c:v>5.67</c:v>
                </c:pt>
                <c:pt idx="48">
                  <c:v>5.67</c:v>
                </c:pt>
                <c:pt idx="49">
                  <c:v>5.67</c:v>
                </c:pt>
                <c:pt idx="50">
                  <c:v>5.67</c:v>
                </c:pt>
                <c:pt idx="51">
                  <c:v>5.67</c:v>
                </c:pt>
                <c:pt idx="52">
                  <c:v>5.67</c:v>
                </c:pt>
                <c:pt idx="53">
                  <c:v>5.67</c:v>
                </c:pt>
                <c:pt idx="54">
                  <c:v>5.67</c:v>
                </c:pt>
                <c:pt idx="55">
                  <c:v>5.67</c:v>
                </c:pt>
                <c:pt idx="56">
                  <c:v>5.67</c:v>
                </c:pt>
                <c:pt idx="57">
                  <c:v>5.67</c:v>
                </c:pt>
                <c:pt idx="58">
                  <c:v>5.67</c:v>
                </c:pt>
                <c:pt idx="59">
                  <c:v>5.67</c:v>
                </c:pt>
                <c:pt idx="60">
                  <c:v>5.67</c:v>
                </c:pt>
                <c:pt idx="61">
                  <c:v>5.67</c:v>
                </c:pt>
                <c:pt idx="62">
                  <c:v>5.67</c:v>
                </c:pt>
                <c:pt idx="63">
                  <c:v>5.67</c:v>
                </c:pt>
                <c:pt idx="64">
                  <c:v>5.67</c:v>
                </c:pt>
                <c:pt idx="65">
                  <c:v>5.67</c:v>
                </c:pt>
                <c:pt idx="66">
                  <c:v>5.67</c:v>
                </c:pt>
                <c:pt idx="67">
                  <c:v>5.65</c:v>
                </c:pt>
                <c:pt idx="68">
                  <c:v>5.62</c:v>
                </c:pt>
                <c:pt idx="69">
                  <c:v>5.62</c:v>
                </c:pt>
                <c:pt idx="70">
                  <c:v>5.62</c:v>
                </c:pt>
                <c:pt idx="71">
                  <c:v>5.62</c:v>
                </c:pt>
                <c:pt idx="72">
                  <c:v>5.62</c:v>
                </c:pt>
                <c:pt idx="73">
                  <c:v>5.61</c:v>
                </c:pt>
                <c:pt idx="74">
                  <c:v>5.61</c:v>
                </c:pt>
                <c:pt idx="75">
                  <c:v>5.61</c:v>
                </c:pt>
                <c:pt idx="76">
                  <c:v>5.61</c:v>
                </c:pt>
                <c:pt idx="77">
                  <c:v>5.47</c:v>
                </c:pt>
                <c:pt idx="78">
                  <c:v>5.25</c:v>
                </c:pt>
                <c:pt idx="79">
                  <c:v>5.25</c:v>
                </c:pt>
                <c:pt idx="80">
                  <c:v>5.25</c:v>
                </c:pt>
                <c:pt idx="81">
                  <c:v>5.25</c:v>
                </c:pt>
                <c:pt idx="82">
                  <c:v>5.0599999999999996</c:v>
                </c:pt>
                <c:pt idx="83">
                  <c:v>4.76</c:v>
                </c:pt>
                <c:pt idx="84">
                  <c:v>4.76</c:v>
                </c:pt>
                <c:pt idx="85">
                  <c:v>4.76</c:v>
                </c:pt>
                <c:pt idx="86">
                  <c:v>4.76</c:v>
                </c:pt>
                <c:pt idx="87">
                  <c:v>4.59</c:v>
                </c:pt>
                <c:pt idx="88">
                  <c:v>4.3099999999999996</c:v>
                </c:pt>
                <c:pt idx="89">
                  <c:v>4.3099999999999996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2-40C4-9C8B-5C25BB99F58A}"/>
            </c:ext>
          </c:extLst>
        </c:ser>
        <c:ser>
          <c:idx val="1"/>
          <c:order val="1"/>
          <c:tx>
            <c:strRef>
              <c:f>'volt-var_test1'!$L$1</c:f>
              <c:strCache>
                <c:ptCount val="1"/>
                <c:pt idx="0">
                  <c:v>Regulated Voltage Avg						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'volt-var_test1'!$B$2:$B$92</c:f>
              <c:numCache>
                <c:formatCode>[$-F400]h:mm:ss\ AM/PM</c:formatCode>
                <c:ptCount val="91"/>
                <c:pt idx="0">
                  <c:v>0.81406358796296296</c:v>
                </c:pt>
                <c:pt idx="1">
                  <c:v>0.814075162037037</c:v>
                </c:pt>
                <c:pt idx="2">
                  <c:v>0.81408673611111115</c:v>
                </c:pt>
                <c:pt idx="3">
                  <c:v>0.81409831018518519</c:v>
                </c:pt>
                <c:pt idx="4">
                  <c:v>0.81410988425925923</c:v>
                </c:pt>
                <c:pt idx="5">
                  <c:v>0.81412145833333338</c:v>
                </c:pt>
                <c:pt idx="6">
                  <c:v>0.81413303240740742</c:v>
                </c:pt>
                <c:pt idx="7">
                  <c:v>0.81414460648148146</c:v>
                </c:pt>
                <c:pt idx="8">
                  <c:v>0.81415618055555561</c:v>
                </c:pt>
                <c:pt idx="9">
                  <c:v>0.81416775462962965</c:v>
                </c:pt>
                <c:pt idx="10">
                  <c:v>0.81417932870370369</c:v>
                </c:pt>
                <c:pt idx="11">
                  <c:v>0.81419090277777773</c:v>
                </c:pt>
                <c:pt idx="12">
                  <c:v>0.81420247685185188</c:v>
                </c:pt>
                <c:pt idx="13">
                  <c:v>0.81421405092592591</c:v>
                </c:pt>
                <c:pt idx="14">
                  <c:v>0.81422562499999995</c:v>
                </c:pt>
                <c:pt idx="15">
                  <c:v>0.8142371990740741</c:v>
                </c:pt>
                <c:pt idx="16">
                  <c:v>0.81424877314814814</c:v>
                </c:pt>
                <c:pt idx="17">
                  <c:v>0.81426034722222218</c:v>
                </c:pt>
                <c:pt idx="18">
                  <c:v>0.81427192129629633</c:v>
                </c:pt>
                <c:pt idx="19">
                  <c:v>0.81428349537037037</c:v>
                </c:pt>
                <c:pt idx="20">
                  <c:v>0.81429506944444441</c:v>
                </c:pt>
                <c:pt idx="21">
                  <c:v>0.81430664351851856</c:v>
                </c:pt>
                <c:pt idx="22">
                  <c:v>0.8143182175925926</c:v>
                </c:pt>
                <c:pt idx="23">
                  <c:v>0.81432979166666664</c:v>
                </c:pt>
                <c:pt idx="24">
                  <c:v>0.81434136574074079</c:v>
                </c:pt>
                <c:pt idx="25">
                  <c:v>0.81435293981481482</c:v>
                </c:pt>
                <c:pt idx="26">
                  <c:v>0.81436451388888886</c:v>
                </c:pt>
                <c:pt idx="27">
                  <c:v>0.81437608796296301</c:v>
                </c:pt>
                <c:pt idx="28">
                  <c:v>0.81438766203703705</c:v>
                </c:pt>
                <c:pt idx="29">
                  <c:v>0.81439923611111109</c:v>
                </c:pt>
                <c:pt idx="30">
                  <c:v>0.81441081018518513</c:v>
                </c:pt>
                <c:pt idx="31">
                  <c:v>0.81442238425925928</c:v>
                </c:pt>
                <c:pt idx="32">
                  <c:v>0.81443395833333332</c:v>
                </c:pt>
                <c:pt idx="33">
                  <c:v>0.81444553240740736</c:v>
                </c:pt>
                <c:pt idx="34">
                  <c:v>0.81445710648148151</c:v>
                </c:pt>
                <c:pt idx="35">
                  <c:v>0.81446868055555555</c:v>
                </c:pt>
                <c:pt idx="36">
                  <c:v>0.81448025462962959</c:v>
                </c:pt>
                <c:pt idx="37">
                  <c:v>0.81449182870370374</c:v>
                </c:pt>
                <c:pt idx="38">
                  <c:v>0.81450340277777777</c:v>
                </c:pt>
                <c:pt idx="39">
                  <c:v>0.81451497685185181</c:v>
                </c:pt>
                <c:pt idx="40">
                  <c:v>0.81452655092592596</c:v>
                </c:pt>
                <c:pt idx="41">
                  <c:v>0.814538125</c:v>
                </c:pt>
                <c:pt idx="42">
                  <c:v>0.81454969907407404</c:v>
                </c:pt>
                <c:pt idx="43">
                  <c:v>0.81456127314814819</c:v>
                </c:pt>
                <c:pt idx="44">
                  <c:v>0.81457284722222223</c:v>
                </c:pt>
                <c:pt idx="45">
                  <c:v>0.81458442129629627</c:v>
                </c:pt>
                <c:pt idx="46">
                  <c:v>0.81459599537037042</c:v>
                </c:pt>
                <c:pt idx="47">
                  <c:v>0.81460756944444446</c:v>
                </c:pt>
                <c:pt idx="48">
                  <c:v>0.8146191435185185</c:v>
                </c:pt>
                <c:pt idx="49">
                  <c:v>0.81463071759259265</c:v>
                </c:pt>
                <c:pt idx="50">
                  <c:v>0.81464229166666668</c:v>
                </c:pt>
                <c:pt idx="51">
                  <c:v>0.81465386574074072</c:v>
                </c:pt>
                <c:pt idx="52">
                  <c:v>0.81466543981481476</c:v>
                </c:pt>
                <c:pt idx="53">
                  <c:v>0.81467701388888891</c:v>
                </c:pt>
                <c:pt idx="54">
                  <c:v>0.81468858796296295</c:v>
                </c:pt>
                <c:pt idx="55">
                  <c:v>0.81470016203703699</c:v>
                </c:pt>
                <c:pt idx="56">
                  <c:v>0.81471173611111114</c:v>
                </c:pt>
                <c:pt idx="57">
                  <c:v>0.81472331018518518</c:v>
                </c:pt>
                <c:pt idx="58">
                  <c:v>0.81473488425925922</c:v>
                </c:pt>
                <c:pt idx="59">
                  <c:v>0.81474645833333337</c:v>
                </c:pt>
                <c:pt idx="60">
                  <c:v>0.81475803240740741</c:v>
                </c:pt>
                <c:pt idx="61">
                  <c:v>0.81476960648148145</c:v>
                </c:pt>
                <c:pt idx="62">
                  <c:v>0.8147811805555556</c:v>
                </c:pt>
                <c:pt idx="63">
                  <c:v>0.81479275462962963</c:v>
                </c:pt>
                <c:pt idx="64">
                  <c:v>0.81480432870370367</c:v>
                </c:pt>
                <c:pt idx="65">
                  <c:v>0.81481590277777782</c:v>
                </c:pt>
                <c:pt idx="66">
                  <c:v>0.81482747685185186</c:v>
                </c:pt>
                <c:pt idx="67">
                  <c:v>0.8148390509259259</c:v>
                </c:pt>
                <c:pt idx="68">
                  <c:v>0.81485062500000005</c:v>
                </c:pt>
                <c:pt idx="69">
                  <c:v>0.81486219907407409</c:v>
                </c:pt>
                <c:pt idx="70">
                  <c:v>0.81487377314814813</c:v>
                </c:pt>
                <c:pt idx="71">
                  <c:v>0.81488534722222217</c:v>
                </c:pt>
                <c:pt idx="72">
                  <c:v>0.81489692129629632</c:v>
                </c:pt>
                <c:pt idx="73">
                  <c:v>0.81490849537037036</c:v>
                </c:pt>
                <c:pt idx="74">
                  <c:v>0.81492006944444439</c:v>
                </c:pt>
                <c:pt idx="75">
                  <c:v>0.81493164351851854</c:v>
                </c:pt>
                <c:pt idx="76">
                  <c:v>0.81494321759259258</c:v>
                </c:pt>
                <c:pt idx="77">
                  <c:v>0.81495479166666662</c:v>
                </c:pt>
                <c:pt idx="78">
                  <c:v>0.81496636574074077</c:v>
                </c:pt>
                <c:pt idx="79">
                  <c:v>0.81497793981481481</c:v>
                </c:pt>
                <c:pt idx="80">
                  <c:v>0.81498951388888885</c:v>
                </c:pt>
                <c:pt idx="81">
                  <c:v>0.815001087962963</c:v>
                </c:pt>
                <c:pt idx="82">
                  <c:v>0.81501266203703704</c:v>
                </c:pt>
                <c:pt idx="83">
                  <c:v>0.81502423611111108</c:v>
                </c:pt>
                <c:pt idx="84">
                  <c:v>0.81503581018518523</c:v>
                </c:pt>
                <c:pt idx="85">
                  <c:v>0.81504738425925927</c:v>
                </c:pt>
                <c:pt idx="86">
                  <c:v>0.81505787037037036</c:v>
                </c:pt>
                <c:pt idx="87">
                  <c:v>0.81506944444444451</c:v>
                </c:pt>
                <c:pt idx="88">
                  <c:v>0.81508101851851855</c:v>
                </c:pt>
                <c:pt idx="89">
                  <c:v>0.81509259259259259</c:v>
                </c:pt>
              </c:numCache>
            </c:numRef>
          </c:cat>
          <c:val>
            <c:numRef>
              <c:f>'volt-var_test1'!$L$2:$L$92</c:f>
              <c:numCache>
                <c:formatCode>General</c:formatCode>
                <c:ptCount val="91"/>
                <c:pt idx="0">
                  <c:v>4.96</c:v>
                </c:pt>
                <c:pt idx="1">
                  <c:v>4.75</c:v>
                </c:pt>
                <c:pt idx="2">
                  <c:v>5.04</c:v>
                </c:pt>
                <c:pt idx="3">
                  <c:v>4.78</c:v>
                </c:pt>
                <c:pt idx="4">
                  <c:v>4.8899999999999997</c:v>
                </c:pt>
                <c:pt idx="5">
                  <c:v>4.95</c:v>
                </c:pt>
                <c:pt idx="6">
                  <c:v>4.75</c:v>
                </c:pt>
                <c:pt idx="7">
                  <c:v>5.04</c:v>
                </c:pt>
                <c:pt idx="8">
                  <c:v>4.75</c:v>
                </c:pt>
                <c:pt idx="9">
                  <c:v>5.07</c:v>
                </c:pt>
                <c:pt idx="10">
                  <c:v>4.83</c:v>
                </c:pt>
                <c:pt idx="11">
                  <c:v>4.8099999999999996</c:v>
                </c:pt>
                <c:pt idx="12">
                  <c:v>5.05</c:v>
                </c:pt>
                <c:pt idx="13">
                  <c:v>4.72</c:v>
                </c:pt>
                <c:pt idx="14">
                  <c:v>5.09</c:v>
                </c:pt>
                <c:pt idx="15">
                  <c:v>4.76</c:v>
                </c:pt>
                <c:pt idx="16">
                  <c:v>5</c:v>
                </c:pt>
                <c:pt idx="17">
                  <c:v>4.84</c:v>
                </c:pt>
                <c:pt idx="18">
                  <c:v>4.8</c:v>
                </c:pt>
                <c:pt idx="19">
                  <c:v>4.99</c:v>
                </c:pt>
                <c:pt idx="20">
                  <c:v>4.74</c:v>
                </c:pt>
                <c:pt idx="21">
                  <c:v>5.1100000000000003</c:v>
                </c:pt>
                <c:pt idx="22">
                  <c:v>4.74</c:v>
                </c:pt>
                <c:pt idx="23">
                  <c:v>4.97</c:v>
                </c:pt>
                <c:pt idx="24">
                  <c:v>4.92</c:v>
                </c:pt>
                <c:pt idx="25">
                  <c:v>4.76</c:v>
                </c:pt>
                <c:pt idx="26">
                  <c:v>5.09</c:v>
                </c:pt>
                <c:pt idx="27">
                  <c:v>4.72</c:v>
                </c:pt>
                <c:pt idx="28">
                  <c:v>5.08</c:v>
                </c:pt>
                <c:pt idx="29">
                  <c:v>4.76</c:v>
                </c:pt>
                <c:pt idx="30">
                  <c:v>4.87</c:v>
                </c:pt>
                <c:pt idx="31">
                  <c:v>4.93</c:v>
                </c:pt>
                <c:pt idx="32">
                  <c:v>4.7300000000000004</c:v>
                </c:pt>
                <c:pt idx="33">
                  <c:v>5.05</c:v>
                </c:pt>
                <c:pt idx="34">
                  <c:v>4.7699999999999996</c:v>
                </c:pt>
                <c:pt idx="35">
                  <c:v>5.04</c:v>
                </c:pt>
                <c:pt idx="36">
                  <c:v>4.78</c:v>
                </c:pt>
                <c:pt idx="37">
                  <c:v>4.8899999999999997</c:v>
                </c:pt>
                <c:pt idx="38">
                  <c:v>4.88</c:v>
                </c:pt>
                <c:pt idx="39">
                  <c:v>4.8</c:v>
                </c:pt>
                <c:pt idx="40">
                  <c:v>5.0199999999999996</c:v>
                </c:pt>
                <c:pt idx="41">
                  <c:v>4.7699999999999996</c:v>
                </c:pt>
                <c:pt idx="42">
                  <c:v>5.0199999999999996</c:v>
                </c:pt>
                <c:pt idx="43">
                  <c:v>4.79</c:v>
                </c:pt>
                <c:pt idx="44">
                  <c:v>4.87</c:v>
                </c:pt>
                <c:pt idx="45">
                  <c:v>4.96</c:v>
                </c:pt>
                <c:pt idx="46">
                  <c:v>4.8</c:v>
                </c:pt>
                <c:pt idx="47">
                  <c:v>5.08</c:v>
                </c:pt>
                <c:pt idx="48">
                  <c:v>4.7699999999999996</c:v>
                </c:pt>
                <c:pt idx="49">
                  <c:v>4.99</c:v>
                </c:pt>
                <c:pt idx="50">
                  <c:v>4.8499999999999996</c:v>
                </c:pt>
                <c:pt idx="51">
                  <c:v>4.8899999999999997</c:v>
                </c:pt>
                <c:pt idx="52">
                  <c:v>4.96</c:v>
                </c:pt>
                <c:pt idx="53">
                  <c:v>4.8099999999999996</c:v>
                </c:pt>
                <c:pt idx="54">
                  <c:v>5.07</c:v>
                </c:pt>
                <c:pt idx="55">
                  <c:v>4.78</c:v>
                </c:pt>
                <c:pt idx="56">
                  <c:v>5.01</c:v>
                </c:pt>
                <c:pt idx="57">
                  <c:v>4.9000000000000004</c:v>
                </c:pt>
                <c:pt idx="58">
                  <c:v>4.83</c:v>
                </c:pt>
                <c:pt idx="59">
                  <c:v>5.01</c:v>
                </c:pt>
                <c:pt idx="60">
                  <c:v>4.74</c:v>
                </c:pt>
                <c:pt idx="61">
                  <c:v>5.1100000000000003</c:v>
                </c:pt>
                <c:pt idx="62">
                  <c:v>4.8099999999999996</c:v>
                </c:pt>
                <c:pt idx="63">
                  <c:v>4.9800000000000004</c:v>
                </c:pt>
                <c:pt idx="64">
                  <c:v>4.91</c:v>
                </c:pt>
                <c:pt idx="65">
                  <c:v>4.84</c:v>
                </c:pt>
                <c:pt idx="66">
                  <c:v>5.0599999999999996</c:v>
                </c:pt>
                <c:pt idx="67">
                  <c:v>4.7699999999999996</c:v>
                </c:pt>
                <c:pt idx="68">
                  <c:v>5.07</c:v>
                </c:pt>
                <c:pt idx="69">
                  <c:v>4.79</c:v>
                </c:pt>
                <c:pt idx="70">
                  <c:v>4.92</c:v>
                </c:pt>
                <c:pt idx="71">
                  <c:v>4.91</c:v>
                </c:pt>
                <c:pt idx="72">
                  <c:v>4.9400000000000004</c:v>
                </c:pt>
                <c:pt idx="73">
                  <c:v>5.0999999999999996</c:v>
                </c:pt>
                <c:pt idx="74">
                  <c:v>4.83</c:v>
                </c:pt>
                <c:pt idx="75">
                  <c:v>5.12</c:v>
                </c:pt>
                <c:pt idx="76">
                  <c:v>4.87</c:v>
                </c:pt>
                <c:pt idx="77">
                  <c:v>4.95</c:v>
                </c:pt>
                <c:pt idx="78">
                  <c:v>5.01</c:v>
                </c:pt>
                <c:pt idx="79">
                  <c:v>4.88</c:v>
                </c:pt>
                <c:pt idx="80">
                  <c:v>5.0999999999999996</c:v>
                </c:pt>
                <c:pt idx="81">
                  <c:v>4.84</c:v>
                </c:pt>
                <c:pt idx="82">
                  <c:v>5.08</c:v>
                </c:pt>
                <c:pt idx="83">
                  <c:v>4.88</c:v>
                </c:pt>
                <c:pt idx="84">
                  <c:v>4.82</c:v>
                </c:pt>
                <c:pt idx="85">
                  <c:v>5.07</c:v>
                </c:pt>
                <c:pt idx="86">
                  <c:v>4.7699999999999996</c:v>
                </c:pt>
                <c:pt idx="87">
                  <c:v>5.07</c:v>
                </c:pt>
                <c:pt idx="88">
                  <c:v>4.79</c:v>
                </c:pt>
                <c:pt idx="89">
                  <c:v>4.92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62-40C4-9C8B-5C25BB99F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701856"/>
        <c:axId val="480697920"/>
      </c:lineChart>
      <c:catAx>
        <c:axId val="480701856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97920"/>
        <c:crosses val="autoZero"/>
        <c:auto val="1"/>
        <c:lblAlgn val="ctr"/>
        <c:lblOffset val="100"/>
        <c:noMultiLvlLbl val="0"/>
      </c:catAx>
      <c:valAx>
        <c:axId val="48069792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70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Volt-Var Responses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Sheet6!$C$1</c:f>
              <c:strCache>
                <c:ptCount val="1"/>
                <c:pt idx="0">
                  <c:v>Chopper Avg Voltage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Sheet6!$B$2:$B$111</c:f>
              <c:numCache>
                <c:formatCode>[$-F400]h:mm:ss\ AM/PM</c:formatCode>
                <c:ptCount val="110"/>
                <c:pt idx="0">
                  <c:v>0.81608990740740739</c:v>
                </c:pt>
                <c:pt idx="1">
                  <c:v>0.81610148148148143</c:v>
                </c:pt>
                <c:pt idx="2">
                  <c:v>0.81611305555555558</c:v>
                </c:pt>
                <c:pt idx="3">
                  <c:v>0.81612462962962962</c:v>
                </c:pt>
                <c:pt idx="4">
                  <c:v>0.81613620370370366</c:v>
                </c:pt>
                <c:pt idx="5">
                  <c:v>0.81614777777777781</c:v>
                </c:pt>
                <c:pt idx="6">
                  <c:v>0.81615935185185184</c:v>
                </c:pt>
                <c:pt idx="7">
                  <c:v>0.81617092592592588</c:v>
                </c:pt>
                <c:pt idx="8">
                  <c:v>0.81618250000000003</c:v>
                </c:pt>
                <c:pt idx="9">
                  <c:v>0.81619407407407407</c:v>
                </c:pt>
                <c:pt idx="10">
                  <c:v>0.81620564814814811</c:v>
                </c:pt>
                <c:pt idx="11">
                  <c:v>0.81621722222222226</c:v>
                </c:pt>
                <c:pt idx="12">
                  <c:v>0.8162287962962963</c:v>
                </c:pt>
                <c:pt idx="13">
                  <c:v>0.81624037037037034</c:v>
                </c:pt>
                <c:pt idx="14">
                  <c:v>0.81625194444444449</c:v>
                </c:pt>
                <c:pt idx="15">
                  <c:v>0.81626351851851853</c:v>
                </c:pt>
                <c:pt idx="16">
                  <c:v>0.81627509259259257</c:v>
                </c:pt>
                <c:pt idx="17">
                  <c:v>0.81628666666666672</c:v>
                </c:pt>
                <c:pt idx="18">
                  <c:v>0.81629824074074075</c:v>
                </c:pt>
                <c:pt idx="19">
                  <c:v>0.81630981481481479</c:v>
                </c:pt>
                <c:pt idx="20">
                  <c:v>0.81632138888888894</c:v>
                </c:pt>
                <c:pt idx="21">
                  <c:v>0.81633296296296298</c:v>
                </c:pt>
                <c:pt idx="22">
                  <c:v>0.81634453703703702</c:v>
                </c:pt>
                <c:pt idx="23">
                  <c:v>0.81635611111111106</c:v>
                </c:pt>
                <c:pt idx="24">
                  <c:v>0.81636768518518521</c:v>
                </c:pt>
                <c:pt idx="25">
                  <c:v>0.81637925925925925</c:v>
                </c:pt>
                <c:pt idx="26">
                  <c:v>0.81639083333333329</c:v>
                </c:pt>
                <c:pt idx="27">
                  <c:v>0.81640240740740744</c:v>
                </c:pt>
                <c:pt idx="28">
                  <c:v>0.81641398148148148</c:v>
                </c:pt>
                <c:pt idx="29">
                  <c:v>0.81642555555555552</c:v>
                </c:pt>
                <c:pt idx="30">
                  <c:v>0.81643712962962967</c:v>
                </c:pt>
                <c:pt idx="31">
                  <c:v>0.8164487037037037</c:v>
                </c:pt>
                <c:pt idx="32">
                  <c:v>0.81646027777777774</c:v>
                </c:pt>
                <c:pt idx="33">
                  <c:v>0.81647185185185189</c:v>
                </c:pt>
                <c:pt idx="34">
                  <c:v>0.81648342592592593</c:v>
                </c:pt>
                <c:pt idx="35">
                  <c:v>0.81649499999999997</c:v>
                </c:pt>
                <c:pt idx="36">
                  <c:v>0.81650657407407412</c:v>
                </c:pt>
                <c:pt idx="37">
                  <c:v>0.81651814814814816</c:v>
                </c:pt>
                <c:pt idx="38">
                  <c:v>0.8165297222222222</c:v>
                </c:pt>
                <c:pt idx="39">
                  <c:v>0.81654129629629635</c:v>
                </c:pt>
                <c:pt idx="40">
                  <c:v>0.81655287037037039</c:v>
                </c:pt>
                <c:pt idx="41">
                  <c:v>0.81656444444444443</c:v>
                </c:pt>
                <c:pt idx="42">
                  <c:v>0.81657601851851846</c:v>
                </c:pt>
                <c:pt idx="43">
                  <c:v>0.81658759259259261</c:v>
                </c:pt>
                <c:pt idx="44">
                  <c:v>0.81659916666666665</c:v>
                </c:pt>
                <c:pt idx="45">
                  <c:v>0.81661074074074069</c:v>
                </c:pt>
                <c:pt idx="46">
                  <c:v>0.81662231481481484</c:v>
                </c:pt>
                <c:pt idx="47">
                  <c:v>0.81663388888888888</c:v>
                </c:pt>
                <c:pt idx="48">
                  <c:v>0.81664546296296292</c:v>
                </c:pt>
                <c:pt idx="49">
                  <c:v>0.81665703703703707</c:v>
                </c:pt>
                <c:pt idx="50">
                  <c:v>0.81666861111111111</c:v>
                </c:pt>
                <c:pt idx="51">
                  <c:v>0.81668018518518515</c:v>
                </c:pt>
                <c:pt idx="52">
                  <c:v>0.8166917592592593</c:v>
                </c:pt>
                <c:pt idx="53">
                  <c:v>0.81670333333333334</c:v>
                </c:pt>
                <c:pt idx="54">
                  <c:v>0.81671490740740738</c:v>
                </c:pt>
                <c:pt idx="55">
                  <c:v>0.81672648148148153</c:v>
                </c:pt>
                <c:pt idx="56">
                  <c:v>0.81673805555555556</c:v>
                </c:pt>
                <c:pt idx="57">
                  <c:v>0.8167496296296296</c:v>
                </c:pt>
                <c:pt idx="58">
                  <c:v>0.81676120370370375</c:v>
                </c:pt>
                <c:pt idx="59">
                  <c:v>0.81677277777777779</c:v>
                </c:pt>
                <c:pt idx="60">
                  <c:v>0.81678435185185183</c:v>
                </c:pt>
                <c:pt idx="61">
                  <c:v>0.81679592592592598</c:v>
                </c:pt>
                <c:pt idx="62">
                  <c:v>0.81680750000000002</c:v>
                </c:pt>
                <c:pt idx="63">
                  <c:v>0.81681907407407406</c:v>
                </c:pt>
                <c:pt idx="64">
                  <c:v>0.8168306481481481</c:v>
                </c:pt>
                <c:pt idx="65">
                  <c:v>0.81684222222222225</c:v>
                </c:pt>
                <c:pt idx="66">
                  <c:v>0.81685379629629629</c:v>
                </c:pt>
                <c:pt idx="67">
                  <c:v>0.81686537037037033</c:v>
                </c:pt>
                <c:pt idx="68">
                  <c:v>0.81687694444444447</c:v>
                </c:pt>
                <c:pt idx="69">
                  <c:v>0.81688851851851851</c:v>
                </c:pt>
                <c:pt idx="70">
                  <c:v>0.81690009259259255</c:v>
                </c:pt>
                <c:pt idx="71">
                  <c:v>0.8169116666666667</c:v>
                </c:pt>
                <c:pt idx="72">
                  <c:v>0.81692324074074074</c:v>
                </c:pt>
                <c:pt idx="73">
                  <c:v>0.81693481481481478</c:v>
                </c:pt>
                <c:pt idx="74">
                  <c:v>0.81694638888888893</c:v>
                </c:pt>
                <c:pt idx="75">
                  <c:v>0.81695796296296297</c:v>
                </c:pt>
                <c:pt idx="76">
                  <c:v>0.81696953703703701</c:v>
                </c:pt>
                <c:pt idx="77">
                  <c:v>0.81698111111111116</c:v>
                </c:pt>
                <c:pt idx="78">
                  <c:v>0.8169926851851852</c:v>
                </c:pt>
                <c:pt idx="79">
                  <c:v>0.81700425925925924</c:v>
                </c:pt>
                <c:pt idx="80">
                  <c:v>0.81701583333333339</c:v>
                </c:pt>
                <c:pt idx="81">
                  <c:v>0.81702740740740742</c:v>
                </c:pt>
                <c:pt idx="82">
                  <c:v>0.81703898148148146</c:v>
                </c:pt>
                <c:pt idx="83">
                  <c:v>0.8170505555555555</c:v>
                </c:pt>
                <c:pt idx="84">
                  <c:v>0.81706212962962965</c:v>
                </c:pt>
                <c:pt idx="85">
                  <c:v>0.81707370370370369</c:v>
                </c:pt>
                <c:pt idx="86">
                  <c:v>0.81708527777777773</c:v>
                </c:pt>
                <c:pt idx="87">
                  <c:v>0.81709685185185188</c:v>
                </c:pt>
                <c:pt idx="88">
                  <c:v>0.81710842592592592</c:v>
                </c:pt>
                <c:pt idx="89">
                  <c:v>0.81711999999999996</c:v>
                </c:pt>
                <c:pt idx="90">
                  <c:v>0.81713157407407411</c:v>
                </c:pt>
                <c:pt idx="91">
                  <c:v>0.81714314814814815</c:v>
                </c:pt>
                <c:pt idx="92">
                  <c:v>0.81715472222222219</c:v>
                </c:pt>
                <c:pt idx="93">
                  <c:v>0.81716629629629634</c:v>
                </c:pt>
                <c:pt idx="94">
                  <c:v>0.81717787037037037</c:v>
                </c:pt>
                <c:pt idx="95">
                  <c:v>0.81718944444444441</c:v>
                </c:pt>
                <c:pt idx="96">
                  <c:v>0.81720101851851856</c:v>
                </c:pt>
                <c:pt idx="97">
                  <c:v>0.8172125925925926</c:v>
                </c:pt>
                <c:pt idx="98">
                  <c:v>0.81722416666666664</c:v>
                </c:pt>
                <c:pt idx="99">
                  <c:v>0.81723574074074079</c:v>
                </c:pt>
                <c:pt idx="100">
                  <c:v>0.81724731481481483</c:v>
                </c:pt>
                <c:pt idx="101">
                  <c:v>0.81725888888888887</c:v>
                </c:pt>
                <c:pt idx="102">
                  <c:v>0.81727046296296302</c:v>
                </c:pt>
                <c:pt idx="103">
                  <c:v>0.81728203703703706</c:v>
                </c:pt>
                <c:pt idx="104">
                  <c:v>0.8172936111111111</c:v>
                </c:pt>
                <c:pt idx="105">
                  <c:v>0.81730518518518513</c:v>
                </c:pt>
                <c:pt idx="106">
                  <c:v>0.81731675925925928</c:v>
                </c:pt>
                <c:pt idx="107">
                  <c:v>0.81732833333333332</c:v>
                </c:pt>
                <c:pt idx="108">
                  <c:v>0.81733990740740736</c:v>
                </c:pt>
                <c:pt idx="109">
                  <c:v>0.81735148148148151</c:v>
                </c:pt>
              </c:numCache>
            </c:numRef>
          </c:cat>
          <c:val>
            <c:numRef>
              <c:f>Sheet6!$C$2:$C$111</c:f>
              <c:numCache>
                <c:formatCode>0.00</c:formatCode>
                <c:ptCount val="110"/>
                <c:pt idx="0">
                  <c:v>4.09</c:v>
                </c:pt>
                <c:pt idx="1">
                  <c:v>4.46</c:v>
                </c:pt>
                <c:pt idx="2">
                  <c:v>4.46</c:v>
                </c:pt>
                <c:pt idx="3">
                  <c:v>4.3899999999999997</c:v>
                </c:pt>
                <c:pt idx="4">
                  <c:v>4.4000000000000004</c:v>
                </c:pt>
                <c:pt idx="5">
                  <c:v>4.3899999999999997</c:v>
                </c:pt>
                <c:pt idx="6">
                  <c:v>4.38</c:v>
                </c:pt>
                <c:pt idx="7">
                  <c:v>4.38</c:v>
                </c:pt>
                <c:pt idx="8">
                  <c:v>4.37</c:v>
                </c:pt>
                <c:pt idx="9">
                  <c:v>4.37</c:v>
                </c:pt>
                <c:pt idx="10">
                  <c:v>4.3600000000000003</c:v>
                </c:pt>
                <c:pt idx="11">
                  <c:v>4.3499999999999996</c:v>
                </c:pt>
                <c:pt idx="12">
                  <c:v>4.34</c:v>
                </c:pt>
                <c:pt idx="13">
                  <c:v>4.34</c:v>
                </c:pt>
                <c:pt idx="14">
                  <c:v>4.3499999999999996</c:v>
                </c:pt>
                <c:pt idx="15">
                  <c:v>4.34</c:v>
                </c:pt>
                <c:pt idx="16">
                  <c:v>4.34</c:v>
                </c:pt>
                <c:pt idx="17">
                  <c:v>4.32</c:v>
                </c:pt>
                <c:pt idx="18">
                  <c:v>4.42</c:v>
                </c:pt>
                <c:pt idx="19">
                  <c:v>4.99</c:v>
                </c:pt>
                <c:pt idx="20">
                  <c:v>4.9800000000000004</c:v>
                </c:pt>
                <c:pt idx="21">
                  <c:v>4.97</c:v>
                </c:pt>
                <c:pt idx="22">
                  <c:v>4.97</c:v>
                </c:pt>
                <c:pt idx="23">
                  <c:v>5.1100000000000003</c:v>
                </c:pt>
                <c:pt idx="24">
                  <c:v>5.78</c:v>
                </c:pt>
                <c:pt idx="25">
                  <c:v>5.76</c:v>
                </c:pt>
                <c:pt idx="26">
                  <c:v>5.75</c:v>
                </c:pt>
                <c:pt idx="27">
                  <c:v>5.74</c:v>
                </c:pt>
                <c:pt idx="28">
                  <c:v>5.78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6.02</c:v>
                </c:pt>
                <c:pt idx="34">
                  <c:v>6.14</c:v>
                </c:pt>
                <c:pt idx="35">
                  <c:v>6.14</c:v>
                </c:pt>
                <c:pt idx="36">
                  <c:v>6.14</c:v>
                </c:pt>
                <c:pt idx="37">
                  <c:v>6.14</c:v>
                </c:pt>
                <c:pt idx="38">
                  <c:v>6.15</c:v>
                </c:pt>
                <c:pt idx="39">
                  <c:v>6.24</c:v>
                </c:pt>
                <c:pt idx="40">
                  <c:v>6.24</c:v>
                </c:pt>
                <c:pt idx="41">
                  <c:v>6.24</c:v>
                </c:pt>
                <c:pt idx="42">
                  <c:v>6.24</c:v>
                </c:pt>
                <c:pt idx="43">
                  <c:v>6.26</c:v>
                </c:pt>
                <c:pt idx="44">
                  <c:v>6.41</c:v>
                </c:pt>
                <c:pt idx="45">
                  <c:v>6.41</c:v>
                </c:pt>
                <c:pt idx="46">
                  <c:v>6.41</c:v>
                </c:pt>
                <c:pt idx="47">
                  <c:v>6.41</c:v>
                </c:pt>
                <c:pt idx="48">
                  <c:v>6.43</c:v>
                </c:pt>
                <c:pt idx="49">
                  <c:v>6.57</c:v>
                </c:pt>
                <c:pt idx="50">
                  <c:v>6.57</c:v>
                </c:pt>
                <c:pt idx="51">
                  <c:v>6.57</c:v>
                </c:pt>
                <c:pt idx="52">
                  <c:v>6.57</c:v>
                </c:pt>
                <c:pt idx="53">
                  <c:v>6.59</c:v>
                </c:pt>
                <c:pt idx="54">
                  <c:v>6.76</c:v>
                </c:pt>
                <c:pt idx="55">
                  <c:v>6.76</c:v>
                </c:pt>
                <c:pt idx="56">
                  <c:v>6.76</c:v>
                </c:pt>
                <c:pt idx="57">
                  <c:v>6.76</c:v>
                </c:pt>
                <c:pt idx="58">
                  <c:v>6.76</c:v>
                </c:pt>
                <c:pt idx="59">
                  <c:v>6.76</c:v>
                </c:pt>
                <c:pt idx="60">
                  <c:v>6.76</c:v>
                </c:pt>
                <c:pt idx="61">
                  <c:v>6.76</c:v>
                </c:pt>
                <c:pt idx="62">
                  <c:v>6.76</c:v>
                </c:pt>
                <c:pt idx="63">
                  <c:v>6.76</c:v>
                </c:pt>
                <c:pt idx="64">
                  <c:v>6.76</c:v>
                </c:pt>
                <c:pt idx="65">
                  <c:v>6.76</c:v>
                </c:pt>
                <c:pt idx="66">
                  <c:v>6.76</c:v>
                </c:pt>
                <c:pt idx="67">
                  <c:v>6.76</c:v>
                </c:pt>
                <c:pt idx="68">
                  <c:v>6.76</c:v>
                </c:pt>
                <c:pt idx="69">
                  <c:v>6.76</c:v>
                </c:pt>
                <c:pt idx="70">
                  <c:v>6.76</c:v>
                </c:pt>
                <c:pt idx="71">
                  <c:v>6.76</c:v>
                </c:pt>
                <c:pt idx="72">
                  <c:v>6.76</c:v>
                </c:pt>
                <c:pt idx="73">
                  <c:v>6.76</c:v>
                </c:pt>
                <c:pt idx="74">
                  <c:v>6.76</c:v>
                </c:pt>
                <c:pt idx="75">
                  <c:v>6.76</c:v>
                </c:pt>
                <c:pt idx="76">
                  <c:v>6.76</c:v>
                </c:pt>
                <c:pt idx="77">
                  <c:v>6.76</c:v>
                </c:pt>
                <c:pt idx="78">
                  <c:v>6.76</c:v>
                </c:pt>
                <c:pt idx="79">
                  <c:v>6.76</c:v>
                </c:pt>
                <c:pt idx="80">
                  <c:v>6.76</c:v>
                </c:pt>
                <c:pt idx="81">
                  <c:v>6.76</c:v>
                </c:pt>
                <c:pt idx="82">
                  <c:v>6.76</c:v>
                </c:pt>
                <c:pt idx="83">
                  <c:v>6.74</c:v>
                </c:pt>
                <c:pt idx="84">
                  <c:v>6.61</c:v>
                </c:pt>
                <c:pt idx="85">
                  <c:v>6.61</c:v>
                </c:pt>
                <c:pt idx="86">
                  <c:v>6.61</c:v>
                </c:pt>
                <c:pt idx="87">
                  <c:v>6.61</c:v>
                </c:pt>
                <c:pt idx="88">
                  <c:v>6.61</c:v>
                </c:pt>
                <c:pt idx="89">
                  <c:v>6.58</c:v>
                </c:pt>
                <c:pt idx="90">
                  <c:v>6.58</c:v>
                </c:pt>
                <c:pt idx="91">
                  <c:v>6.58</c:v>
                </c:pt>
                <c:pt idx="92">
                  <c:v>6.58</c:v>
                </c:pt>
                <c:pt idx="93">
                  <c:v>6.47</c:v>
                </c:pt>
                <c:pt idx="94">
                  <c:v>5.73</c:v>
                </c:pt>
                <c:pt idx="95">
                  <c:v>5.73</c:v>
                </c:pt>
                <c:pt idx="96">
                  <c:v>5.73</c:v>
                </c:pt>
                <c:pt idx="97">
                  <c:v>5.73</c:v>
                </c:pt>
                <c:pt idx="98">
                  <c:v>5.63</c:v>
                </c:pt>
                <c:pt idx="99">
                  <c:v>4.9800000000000004</c:v>
                </c:pt>
                <c:pt idx="100">
                  <c:v>4.9800000000000004</c:v>
                </c:pt>
                <c:pt idx="101">
                  <c:v>4.9800000000000004</c:v>
                </c:pt>
                <c:pt idx="102">
                  <c:v>4.97</c:v>
                </c:pt>
                <c:pt idx="103">
                  <c:v>4.88</c:v>
                </c:pt>
                <c:pt idx="104">
                  <c:v>4.32</c:v>
                </c:pt>
                <c:pt idx="105">
                  <c:v>4.3499999999999996</c:v>
                </c:pt>
                <c:pt idx="106">
                  <c:v>4.3499999999999996</c:v>
                </c:pt>
                <c:pt idx="107">
                  <c:v>4.34</c:v>
                </c:pt>
                <c:pt idx="108">
                  <c:v>4.34</c:v>
                </c:pt>
                <c:pt idx="109">
                  <c:v>4.33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54-45AC-8FC9-BC0F696E34C5}"/>
            </c:ext>
          </c:extLst>
        </c:ser>
        <c:ser>
          <c:idx val="1"/>
          <c:order val="1"/>
          <c:tx>
            <c:v>Qref </c:v>
          </c:tx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Sheet6!$G$2:$G$111</c:f>
              <c:numCache>
                <c:formatCode>0.00</c:formatCode>
                <c:ptCount val="110"/>
                <c:pt idx="0">
                  <c:v>6.26</c:v>
                </c:pt>
                <c:pt idx="1">
                  <c:v>6.24</c:v>
                </c:pt>
                <c:pt idx="2">
                  <c:v>6.26</c:v>
                </c:pt>
                <c:pt idx="3">
                  <c:v>6.71</c:v>
                </c:pt>
                <c:pt idx="4">
                  <c:v>6.77</c:v>
                </c:pt>
                <c:pt idx="5">
                  <c:v>6.77</c:v>
                </c:pt>
                <c:pt idx="6">
                  <c:v>6.77</c:v>
                </c:pt>
                <c:pt idx="7">
                  <c:v>6.77</c:v>
                </c:pt>
                <c:pt idx="8">
                  <c:v>6.77</c:v>
                </c:pt>
                <c:pt idx="9">
                  <c:v>6.77</c:v>
                </c:pt>
                <c:pt idx="10">
                  <c:v>6.77</c:v>
                </c:pt>
                <c:pt idx="11">
                  <c:v>6.77</c:v>
                </c:pt>
                <c:pt idx="12">
                  <c:v>6.77</c:v>
                </c:pt>
                <c:pt idx="13">
                  <c:v>6.77</c:v>
                </c:pt>
                <c:pt idx="14">
                  <c:v>6.75</c:v>
                </c:pt>
                <c:pt idx="15">
                  <c:v>6.61</c:v>
                </c:pt>
                <c:pt idx="16">
                  <c:v>6.61</c:v>
                </c:pt>
                <c:pt idx="17">
                  <c:v>6.27</c:v>
                </c:pt>
                <c:pt idx="18">
                  <c:v>5.64</c:v>
                </c:pt>
                <c:pt idx="19">
                  <c:v>5.67</c:v>
                </c:pt>
                <c:pt idx="20">
                  <c:v>5.64</c:v>
                </c:pt>
                <c:pt idx="21">
                  <c:v>5.6</c:v>
                </c:pt>
                <c:pt idx="22">
                  <c:v>5.1100000000000003</c:v>
                </c:pt>
                <c:pt idx="23">
                  <c:v>4.93</c:v>
                </c:pt>
                <c:pt idx="24">
                  <c:v>5.18</c:v>
                </c:pt>
                <c:pt idx="25">
                  <c:v>4.82</c:v>
                </c:pt>
                <c:pt idx="26">
                  <c:v>5.29</c:v>
                </c:pt>
                <c:pt idx="27">
                  <c:v>4.8099999999999996</c:v>
                </c:pt>
                <c:pt idx="28">
                  <c:v>5.12</c:v>
                </c:pt>
                <c:pt idx="29">
                  <c:v>4.97</c:v>
                </c:pt>
                <c:pt idx="30">
                  <c:v>4.8600000000000003</c:v>
                </c:pt>
                <c:pt idx="31">
                  <c:v>5.16</c:v>
                </c:pt>
                <c:pt idx="32">
                  <c:v>4.78</c:v>
                </c:pt>
                <c:pt idx="33">
                  <c:v>5.18</c:v>
                </c:pt>
                <c:pt idx="34">
                  <c:v>4.76</c:v>
                </c:pt>
                <c:pt idx="35">
                  <c:v>5.07</c:v>
                </c:pt>
                <c:pt idx="36">
                  <c:v>4.83</c:v>
                </c:pt>
                <c:pt idx="37">
                  <c:v>4.92</c:v>
                </c:pt>
                <c:pt idx="38">
                  <c:v>5.0999999999999996</c:v>
                </c:pt>
                <c:pt idx="39">
                  <c:v>4.79</c:v>
                </c:pt>
                <c:pt idx="40">
                  <c:v>5.09</c:v>
                </c:pt>
                <c:pt idx="41">
                  <c:v>4.74</c:v>
                </c:pt>
                <c:pt idx="42">
                  <c:v>4.91</c:v>
                </c:pt>
                <c:pt idx="43">
                  <c:v>4.87</c:v>
                </c:pt>
                <c:pt idx="44">
                  <c:v>4.87</c:v>
                </c:pt>
                <c:pt idx="45">
                  <c:v>5.08</c:v>
                </c:pt>
                <c:pt idx="46">
                  <c:v>4.76</c:v>
                </c:pt>
                <c:pt idx="47">
                  <c:v>5.16</c:v>
                </c:pt>
                <c:pt idx="48">
                  <c:v>4.75</c:v>
                </c:pt>
                <c:pt idx="49">
                  <c:v>4.96</c:v>
                </c:pt>
                <c:pt idx="50">
                  <c:v>4.91</c:v>
                </c:pt>
                <c:pt idx="51">
                  <c:v>4.8099999999999996</c:v>
                </c:pt>
                <c:pt idx="52">
                  <c:v>5.09</c:v>
                </c:pt>
                <c:pt idx="53">
                  <c:v>4.71</c:v>
                </c:pt>
                <c:pt idx="54">
                  <c:v>5.0599999999999996</c:v>
                </c:pt>
                <c:pt idx="55">
                  <c:v>4.7699999999999996</c:v>
                </c:pt>
                <c:pt idx="56">
                  <c:v>4.96</c:v>
                </c:pt>
                <c:pt idx="57">
                  <c:v>5.01</c:v>
                </c:pt>
                <c:pt idx="58">
                  <c:v>4.8099999999999996</c:v>
                </c:pt>
                <c:pt idx="59">
                  <c:v>5.12</c:v>
                </c:pt>
                <c:pt idx="60">
                  <c:v>4.7699999999999996</c:v>
                </c:pt>
                <c:pt idx="61">
                  <c:v>4.99</c:v>
                </c:pt>
                <c:pt idx="62">
                  <c:v>4.82</c:v>
                </c:pt>
                <c:pt idx="63">
                  <c:v>4.88</c:v>
                </c:pt>
                <c:pt idx="64">
                  <c:v>5.01</c:v>
                </c:pt>
                <c:pt idx="65">
                  <c:v>4.8099999999999996</c:v>
                </c:pt>
                <c:pt idx="66">
                  <c:v>5.12</c:v>
                </c:pt>
                <c:pt idx="67">
                  <c:v>4.7</c:v>
                </c:pt>
                <c:pt idx="68">
                  <c:v>4.9800000000000004</c:v>
                </c:pt>
                <c:pt idx="69">
                  <c:v>4.88</c:v>
                </c:pt>
                <c:pt idx="70">
                  <c:v>4.84</c:v>
                </c:pt>
                <c:pt idx="71">
                  <c:v>5.14</c:v>
                </c:pt>
                <c:pt idx="72">
                  <c:v>4.84</c:v>
                </c:pt>
                <c:pt idx="73">
                  <c:v>5.19</c:v>
                </c:pt>
                <c:pt idx="74">
                  <c:v>4.8600000000000003</c:v>
                </c:pt>
                <c:pt idx="75">
                  <c:v>4.99</c:v>
                </c:pt>
                <c:pt idx="76">
                  <c:v>5.1100000000000003</c:v>
                </c:pt>
                <c:pt idx="77">
                  <c:v>4.8099999999999996</c:v>
                </c:pt>
                <c:pt idx="78">
                  <c:v>5.25</c:v>
                </c:pt>
                <c:pt idx="79">
                  <c:v>4.83</c:v>
                </c:pt>
                <c:pt idx="80">
                  <c:v>5.2</c:v>
                </c:pt>
                <c:pt idx="81">
                  <c:v>4.9400000000000004</c:v>
                </c:pt>
                <c:pt idx="82">
                  <c:v>4.9400000000000004</c:v>
                </c:pt>
                <c:pt idx="83">
                  <c:v>5.15</c:v>
                </c:pt>
                <c:pt idx="84">
                  <c:v>4.83</c:v>
                </c:pt>
                <c:pt idx="85">
                  <c:v>5.29</c:v>
                </c:pt>
                <c:pt idx="86">
                  <c:v>4.83</c:v>
                </c:pt>
                <c:pt idx="87">
                  <c:v>5.13</c:v>
                </c:pt>
                <c:pt idx="88">
                  <c:v>4.99</c:v>
                </c:pt>
                <c:pt idx="89">
                  <c:v>4.9000000000000004</c:v>
                </c:pt>
                <c:pt idx="90">
                  <c:v>5.21</c:v>
                </c:pt>
                <c:pt idx="91">
                  <c:v>4.83</c:v>
                </c:pt>
                <c:pt idx="92">
                  <c:v>5.29</c:v>
                </c:pt>
                <c:pt idx="93">
                  <c:v>4.87</c:v>
                </c:pt>
                <c:pt idx="94">
                  <c:v>5.0999999999999996</c:v>
                </c:pt>
                <c:pt idx="95">
                  <c:v>5.0199999999999996</c:v>
                </c:pt>
                <c:pt idx="96">
                  <c:v>4.8600000000000003</c:v>
                </c:pt>
                <c:pt idx="97">
                  <c:v>5.24</c:v>
                </c:pt>
                <c:pt idx="98">
                  <c:v>4.8499999999999996</c:v>
                </c:pt>
                <c:pt idx="99">
                  <c:v>5.24</c:v>
                </c:pt>
                <c:pt idx="100">
                  <c:v>4.8899999999999997</c:v>
                </c:pt>
                <c:pt idx="101">
                  <c:v>5.04</c:v>
                </c:pt>
                <c:pt idx="102">
                  <c:v>5.1100000000000003</c:v>
                </c:pt>
                <c:pt idx="103">
                  <c:v>4.8499999999999996</c:v>
                </c:pt>
                <c:pt idx="104">
                  <c:v>5.26</c:v>
                </c:pt>
                <c:pt idx="105">
                  <c:v>4.8499999999999996</c:v>
                </c:pt>
                <c:pt idx="106">
                  <c:v>5.23</c:v>
                </c:pt>
                <c:pt idx="107">
                  <c:v>4.93</c:v>
                </c:pt>
                <c:pt idx="108">
                  <c:v>5</c:v>
                </c:pt>
                <c:pt idx="109">
                  <c:v>5.12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54-45AC-8FC9-BC0F696E34C5}"/>
            </c:ext>
          </c:extLst>
        </c:ser>
        <c:ser>
          <c:idx val="2"/>
          <c:order val="2"/>
          <c:tx>
            <c:v>Pctrl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Sheet6!$J$2:$J$111</c:f>
              <c:numCache>
                <c:formatCode>0.00</c:formatCode>
                <c:ptCount val="110"/>
                <c:pt idx="0">
                  <c:v>4.3</c:v>
                </c:pt>
                <c:pt idx="1">
                  <c:v>4.9800000000000004</c:v>
                </c:pt>
                <c:pt idx="2">
                  <c:v>4.97</c:v>
                </c:pt>
                <c:pt idx="3">
                  <c:v>4.97</c:v>
                </c:pt>
                <c:pt idx="4">
                  <c:v>4.97</c:v>
                </c:pt>
                <c:pt idx="5">
                  <c:v>4.9800000000000004</c:v>
                </c:pt>
                <c:pt idx="6">
                  <c:v>5.8</c:v>
                </c:pt>
                <c:pt idx="7">
                  <c:v>5.55</c:v>
                </c:pt>
                <c:pt idx="8">
                  <c:v>4.83</c:v>
                </c:pt>
                <c:pt idx="9">
                  <c:v>4.68</c:v>
                </c:pt>
                <c:pt idx="10">
                  <c:v>4.99</c:v>
                </c:pt>
                <c:pt idx="11">
                  <c:v>4.66</c:v>
                </c:pt>
                <c:pt idx="12">
                  <c:v>4.83</c:v>
                </c:pt>
                <c:pt idx="13">
                  <c:v>4.78</c:v>
                </c:pt>
                <c:pt idx="14">
                  <c:v>4.75</c:v>
                </c:pt>
                <c:pt idx="15">
                  <c:v>5.07</c:v>
                </c:pt>
                <c:pt idx="16">
                  <c:v>4.66</c:v>
                </c:pt>
                <c:pt idx="17">
                  <c:v>4.9400000000000004</c:v>
                </c:pt>
                <c:pt idx="18">
                  <c:v>4.6900000000000004</c:v>
                </c:pt>
                <c:pt idx="19">
                  <c:v>4.87</c:v>
                </c:pt>
                <c:pt idx="20">
                  <c:v>4.87</c:v>
                </c:pt>
                <c:pt idx="21">
                  <c:v>4.7300000000000004</c:v>
                </c:pt>
                <c:pt idx="22">
                  <c:v>5.12</c:v>
                </c:pt>
                <c:pt idx="23">
                  <c:v>4.6500000000000004</c:v>
                </c:pt>
                <c:pt idx="24">
                  <c:v>4.9400000000000004</c:v>
                </c:pt>
                <c:pt idx="25">
                  <c:v>4.75</c:v>
                </c:pt>
                <c:pt idx="26">
                  <c:v>4.7300000000000004</c:v>
                </c:pt>
                <c:pt idx="27">
                  <c:v>4.92</c:v>
                </c:pt>
                <c:pt idx="28">
                  <c:v>4.84</c:v>
                </c:pt>
                <c:pt idx="29">
                  <c:v>5.16</c:v>
                </c:pt>
                <c:pt idx="30">
                  <c:v>4.58</c:v>
                </c:pt>
                <c:pt idx="31">
                  <c:v>4.88</c:v>
                </c:pt>
                <c:pt idx="32">
                  <c:v>4.72</c:v>
                </c:pt>
                <c:pt idx="33">
                  <c:v>4.88</c:v>
                </c:pt>
                <c:pt idx="34">
                  <c:v>4.92</c:v>
                </c:pt>
                <c:pt idx="35">
                  <c:v>4.76</c:v>
                </c:pt>
                <c:pt idx="36">
                  <c:v>5.15</c:v>
                </c:pt>
                <c:pt idx="37">
                  <c:v>4.8</c:v>
                </c:pt>
                <c:pt idx="38">
                  <c:v>4.8499999999999996</c:v>
                </c:pt>
                <c:pt idx="39">
                  <c:v>4.84</c:v>
                </c:pt>
                <c:pt idx="40">
                  <c:v>4.7699999999999996</c:v>
                </c:pt>
                <c:pt idx="41">
                  <c:v>5.17</c:v>
                </c:pt>
                <c:pt idx="42">
                  <c:v>4.79</c:v>
                </c:pt>
                <c:pt idx="43">
                  <c:v>5.0599999999999996</c:v>
                </c:pt>
                <c:pt idx="44">
                  <c:v>4.91</c:v>
                </c:pt>
                <c:pt idx="45">
                  <c:v>4.68</c:v>
                </c:pt>
                <c:pt idx="46">
                  <c:v>4.8099999999999996</c:v>
                </c:pt>
                <c:pt idx="47">
                  <c:v>4.79</c:v>
                </c:pt>
                <c:pt idx="48">
                  <c:v>5.0999999999999996</c:v>
                </c:pt>
                <c:pt idx="49">
                  <c:v>4.74</c:v>
                </c:pt>
                <c:pt idx="50">
                  <c:v>5</c:v>
                </c:pt>
                <c:pt idx="51">
                  <c:v>4.6399999999999997</c:v>
                </c:pt>
                <c:pt idx="52">
                  <c:v>4.71</c:v>
                </c:pt>
                <c:pt idx="53">
                  <c:v>5.24</c:v>
                </c:pt>
                <c:pt idx="54">
                  <c:v>4.6500000000000004</c:v>
                </c:pt>
                <c:pt idx="55">
                  <c:v>5</c:v>
                </c:pt>
                <c:pt idx="56">
                  <c:v>4.63</c:v>
                </c:pt>
                <c:pt idx="57">
                  <c:v>4.92</c:v>
                </c:pt>
                <c:pt idx="58">
                  <c:v>4.7300000000000004</c:v>
                </c:pt>
                <c:pt idx="59">
                  <c:v>4.8600000000000003</c:v>
                </c:pt>
                <c:pt idx="60">
                  <c:v>5.19</c:v>
                </c:pt>
                <c:pt idx="61">
                  <c:v>4.6399999999999997</c:v>
                </c:pt>
                <c:pt idx="62">
                  <c:v>5.1100000000000003</c:v>
                </c:pt>
                <c:pt idx="63">
                  <c:v>4.62</c:v>
                </c:pt>
                <c:pt idx="64">
                  <c:v>5.01</c:v>
                </c:pt>
                <c:pt idx="65">
                  <c:v>4.8</c:v>
                </c:pt>
                <c:pt idx="66">
                  <c:v>4.79</c:v>
                </c:pt>
                <c:pt idx="67">
                  <c:v>5.01</c:v>
                </c:pt>
                <c:pt idx="68">
                  <c:v>4.9000000000000004</c:v>
                </c:pt>
                <c:pt idx="69">
                  <c:v>5.05</c:v>
                </c:pt>
                <c:pt idx="70">
                  <c:v>4.6900000000000004</c:v>
                </c:pt>
                <c:pt idx="71">
                  <c:v>4.8099999999999996</c:v>
                </c:pt>
                <c:pt idx="72">
                  <c:v>4.8600000000000003</c:v>
                </c:pt>
                <c:pt idx="73">
                  <c:v>4.84</c:v>
                </c:pt>
                <c:pt idx="74">
                  <c:v>5.31</c:v>
                </c:pt>
                <c:pt idx="75">
                  <c:v>4.6500000000000004</c:v>
                </c:pt>
                <c:pt idx="76">
                  <c:v>4.9800000000000004</c:v>
                </c:pt>
                <c:pt idx="77">
                  <c:v>4.67</c:v>
                </c:pt>
                <c:pt idx="78">
                  <c:v>4.82</c:v>
                </c:pt>
                <c:pt idx="79">
                  <c:v>4.8899999999999997</c:v>
                </c:pt>
                <c:pt idx="80">
                  <c:v>4.91</c:v>
                </c:pt>
                <c:pt idx="81">
                  <c:v>4.93</c:v>
                </c:pt>
                <c:pt idx="82">
                  <c:v>4.5999999999999996</c:v>
                </c:pt>
                <c:pt idx="83">
                  <c:v>4.82</c:v>
                </c:pt>
                <c:pt idx="84">
                  <c:v>4.6900000000000004</c:v>
                </c:pt>
                <c:pt idx="85">
                  <c:v>4.71</c:v>
                </c:pt>
                <c:pt idx="86">
                  <c:v>4.7300000000000004</c:v>
                </c:pt>
                <c:pt idx="87">
                  <c:v>4.55</c:v>
                </c:pt>
                <c:pt idx="88">
                  <c:v>4.6100000000000003</c:v>
                </c:pt>
                <c:pt idx="89">
                  <c:v>4.41</c:v>
                </c:pt>
                <c:pt idx="90">
                  <c:v>4.53</c:v>
                </c:pt>
                <c:pt idx="91">
                  <c:v>4.51</c:v>
                </c:pt>
                <c:pt idx="92">
                  <c:v>4.4400000000000004</c:v>
                </c:pt>
                <c:pt idx="93">
                  <c:v>4.6500000000000004</c:v>
                </c:pt>
                <c:pt idx="94">
                  <c:v>4.32</c:v>
                </c:pt>
                <c:pt idx="95">
                  <c:v>4.8600000000000003</c:v>
                </c:pt>
                <c:pt idx="96">
                  <c:v>4.4000000000000004</c:v>
                </c:pt>
                <c:pt idx="97">
                  <c:v>4.45</c:v>
                </c:pt>
                <c:pt idx="98">
                  <c:v>4.5599999999999996</c:v>
                </c:pt>
                <c:pt idx="99">
                  <c:v>4.3899999999999997</c:v>
                </c:pt>
                <c:pt idx="100">
                  <c:v>4.6399999999999997</c:v>
                </c:pt>
                <c:pt idx="101">
                  <c:v>4.38</c:v>
                </c:pt>
                <c:pt idx="102">
                  <c:v>4.58</c:v>
                </c:pt>
                <c:pt idx="103">
                  <c:v>4.42</c:v>
                </c:pt>
                <c:pt idx="104">
                  <c:v>4.8099999999999996</c:v>
                </c:pt>
                <c:pt idx="105">
                  <c:v>4.88</c:v>
                </c:pt>
                <c:pt idx="106">
                  <c:v>4.7300000000000004</c:v>
                </c:pt>
                <c:pt idx="107">
                  <c:v>4.96</c:v>
                </c:pt>
                <c:pt idx="108">
                  <c:v>4.7</c:v>
                </c:pt>
                <c:pt idx="109">
                  <c:v>4.95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54-45AC-8FC9-BC0F696E34C5}"/>
            </c:ext>
          </c:extLst>
        </c:ser>
        <c:ser>
          <c:idx val="3"/>
          <c:order val="3"/>
          <c:tx>
            <c:v>PI Ctrl</c:v>
          </c:tx>
          <c:spPr>
            <a:ln w="28575" cap="rnd">
              <a:solidFill>
                <a:schemeClr val="accent4"/>
              </a:solidFill>
              <a:prstDash val="lgDash"/>
              <a:round/>
            </a:ln>
            <a:effectLst/>
          </c:spPr>
          <c:marker>
            <c:symbol val="none"/>
          </c:marker>
          <c:val>
            <c:numRef>
              <c:f>Sheet6!$M$2:$M$111</c:f>
              <c:numCache>
                <c:formatCode>0.00</c:formatCode>
                <c:ptCount val="110"/>
                <c:pt idx="0">
                  <c:v>4.26</c:v>
                </c:pt>
                <c:pt idx="1">
                  <c:v>4.26</c:v>
                </c:pt>
                <c:pt idx="2">
                  <c:v>4.26</c:v>
                </c:pt>
                <c:pt idx="3">
                  <c:v>4.26</c:v>
                </c:pt>
                <c:pt idx="4">
                  <c:v>4.26</c:v>
                </c:pt>
                <c:pt idx="5">
                  <c:v>4.26</c:v>
                </c:pt>
                <c:pt idx="6">
                  <c:v>4.26</c:v>
                </c:pt>
                <c:pt idx="7">
                  <c:v>4.26</c:v>
                </c:pt>
                <c:pt idx="8">
                  <c:v>4.26</c:v>
                </c:pt>
                <c:pt idx="9">
                  <c:v>4.6399999999999997</c:v>
                </c:pt>
                <c:pt idx="10">
                  <c:v>5</c:v>
                </c:pt>
                <c:pt idx="11">
                  <c:v>4.55</c:v>
                </c:pt>
                <c:pt idx="12">
                  <c:v>4.99</c:v>
                </c:pt>
                <c:pt idx="13">
                  <c:v>4.62</c:v>
                </c:pt>
                <c:pt idx="14">
                  <c:v>4.8</c:v>
                </c:pt>
                <c:pt idx="15">
                  <c:v>4.8499999999999996</c:v>
                </c:pt>
                <c:pt idx="16">
                  <c:v>4.66</c:v>
                </c:pt>
                <c:pt idx="17">
                  <c:v>4.97</c:v>
                </c:pt>
                <c:pt idx="18">
                  <c:v>4.62</c:v>
                </c:pt>
                <c:pt idx="19">
                  <c:v>4.9000000000000004</c:v>
                </c:pt>
                <c:pt idx="20">
                  <c:v>4.68</c:v>
                </c:pt>
                <c:pt idx="21">
                  <c:v>4.7699999999999996</c:v>
                </c:pt>
                <c:pt idx="22">
                  <c:v>4.8899999999999997</c:v>
                </c:pt>
                <c:pt idx="23">
                  <c:v>4.71</c:v>
                </c:pt>
                <c:pt idx="24">
                  <c:v>5.08</c:v>
                </c:pt>
                <c:pt idx="25">
                  <c:v>4.57</c:v>
                </c:pt>
                <c:pt idx="26">
                  <c:v>4.87</c:v>
                </c:pt>
                <c:pt idx="27">
                  <c:v>4.78</c:v>
                </c:pt>
                <c:pt idx="28">
                  <c:v>4.7300000000000004</c:v>
                </c:pt>
                <c:pt idx="29">
                  <c:v>5.01</c:v>
                </c:pt>
                <c:pt idx="30">
                  <c:v>4.68</c:v>
                </c:pt>
                <c:pt idx="31">
                  <c:v>5.03</c:v>
                </c:pt>
                <c:pt idx="32">
                  <c:v>4.76</c:v>
                </c:pt>
                <c:pt idx="33">
                  <c:v>4.79</c:v>
                </c:pt>
                <c:pt idx="34">
                  <c:v>4.53</c:v>
                </c:pt>
                <c:pt idx="35">
                  <c:v>4.6900000000000004</c:v>
                </c:pt>
                <c:pt idx="36">
                  <c:v>4.71</c:v>
                </c:pt>
                <c:pt idx="37">
                  <c:v>4.6500000000000004</c:v>
                </c:pt>
                <c:pt idx="38">
                  <c:v>4.93</c:v>
                </c:pt>
                <c:pt idx="39">
                  <c:v>4.4800000000000004</c:v>
                </c:pt>
                <c:pt idx="40">
                  <c:v>4.72</c:v>
                </c:pt>
                <c:pt idx="41">
                  <c:v>4.82</c:v>
                </c:pt>
                <c:pt idx="42">
                  <c:v>4.46</c:v>
                </c:pt>
                <c:pt idx="43">
                  <c:v>4.97</c:v>
                </c:pt>
                <c:pt idx="44">
                  <c:v>4.53</c:v>
                </c:pt>
                <c:pt idx="45">
                  <c:v>4.83</c:v>
                </c:pt>
                <c:pt idx="46">
                  <c:v>4.54</c:v>
                </c:pt>
                <c:pt idx="47">
                  <c:v>4.71</c:v>
                </c:pt>
                <c:pt idx="48">
                  <c:v>4.5599999999999996</c:v>
                </c:pt>
                <c:pt idx="49">
                  <c:v>4.63</c:v>
                </c:pt>
                <c:pt idx="50">
                  <c:v>4.8600000000000003</c:v>
                </c:pt>
                <c:pt idx="51">
                  <c:v>4.57</c:v>
                </c:pt>
                <c:pt idx="52">
                  <c:v>4.8899999999999997</c:v>
                </c:pt>
                <c:pt idx="53">
                  <c:v>4.45</c:v>
                </c:pt>
                <c:pt idx="54">
                  <c:v>4.71</c:v>
                </c:pt>
                <c:pt idx="55">
                  <c:v>4.59</c:v>
                </c:pt>
                <c:pt idx="56">
                  <c:v>4.5599999999999996</c:v>
                </c:pt>
                <c:pt idx="57">
                  <c:v>4.88</c:v>
                </c:pt>
                <c:pt idx="58">
                  <c:v>4.66</c:v>
                </c:pt>
                <c:pt idx="59">
                  <c:v>4.84</c:v>
                </c:pt>
                <c:pt idx="60">
                  <c:v>4.46</c:v>
                </c:pt>
                <c:pt idx="61">
                  <c:v>4.62</c:v>
                </c:pt>
                <c:pt idx="62">
                  <c:v>4.6500000000000004</c:v>
                </c:pt>
                <c:pt idx="63">
                  <c:v>4.6399999999999997</c:v>
                </c:pt>
                <c:pt idx="64">
                  <c:v>5.1100000000000003</c:v>
                </c:pt>
                <c:pt idx="65">
                  <c:v>4.3099999999999996</c:v>
                </c:pt>
                <c:pt idx="66">
                  <c:v>4.76</c:v>
                </c:pt>
                <c:pt idx="67">
                  <c:v>4.4000000000000004</c:v>
                </c:pt>
                <c:pt idx="68">
                  <c:v>4.57</c:v>
                </c:pt>
                <c:pt idx="69">
                  <c:v>4.66</c:v>
                </c:pt>
                <c:pt idx="70">
                  <c:v>4.68</c:v>
                </c:pt>
                <c:pt idx="71">
                  <c:v>4.9400000000000004</c:v>
                </c:pt>
                <c:pt idx="72">
                  <c:v>4.3899999999999997</c:v>
                </c:pt>
                <c:pt idx="73">
                  <c:v>4.7300000000000004</c:v>
                </c:pt>
                <c:pt idx="74">
                  <c:v>4.46</c:v>
                </c:pt>
                <c:pt idx="75">
                  <c:v>4.7</c:v>
                </c:pt>
                <c:pt idx="76">
                  <c:v>4.67</c:v>
                </c:pt>
                <c:pt idx="77">
                  <c:v>4.5</c:v>
                </c:pt>
                <c:pt idx="78">
                  <c:v>4.79</c:v>
                </c:pt>
                <c:pt idx="79">
                  <c:v>4.42</c:v>
                </c:pt>
                <c:pt idx="80">
                  <c:v>4.7300000000000004</c:v>
                </c:pt>
                <c:pt idx="81">
                  <c:v>4.4800000000000004</c:v>
                </c:pt>
                <c:pt idx="82">
                  <c:v>4.59</c:v>
                </c:pt>
                <c:pt idx="83">
                  <c:v>4.91</c:v>
                </c:pt>
                <c:pt idx="84">
                  <c:v>4.51</c:v>
                </c:pt>
                <c:pt idx="85">
                  <c:v>4.74</c:v>
                </c:pt>
                <c:pt idx="86">
                  <c:v>4.33</c:v>
                </c:pt>
                <c:pt idx="87">
                  <c:v>4.7300000000000004</c:v>
                </c:pt>
                <c:pt idx="88">
                  <c:v>4.53</c:v>
                </c:pt>
                <c:pt idx="89">
                  <c:v>4.63</c:v>
                </c:pt>
                <c:pt idx="90">
                  <c:v>4.92</c:v>
                </c:pt>
                <c:pt idx="91">
                  <c:v>4.49</c:v>
                </c:pt>
                <c:pt idx="92">
                  <c:v>4.79</c:v>
                </c:pt>
                <c:pt idx="93">
                  <c:v>4.45</c:v>
                </c:pt>
                <c:pt idx="94">
                  <c:v>4.75</c:v>
                </c:pt>
                <c:pt idx="95">
                  <c:v>4.59</c:v>
                </c:pt>
                <c:pt idx="96">
                  <c:v>4.53</c:v>
                </c:pt>
                <c:pt idx="97">
                  <c:v>4.9000000000000004</c:v>
                </c:pt>
                <c:pt idx="98">
                  <c:v>4.5</c:v>
                </c:pt>
                <c:pt idx="99">
                  <c:v>4.82</c:v>
                </c:pt>
                <c:pt idx="100">
                  <c:v>4.4400000000000004</c:v>
                </c:pt>
                <c:pt idx="101">
                  <c:v>4.6399999999999997</c:v>
                </c:pt>
                <c:pt idx="102">
                  <c:v>4.62</c:v>
                </c:pt>
                <c:pt idx="103">
                  <c:v>4.53</c:v>
                </c:pt>
                <c:pt idx="104">
                  <c:v>4.95</c:v>
                </c:pt>
                <c:pt idx="105">
                  <c:v>4.41</c:v>
                </c:pt>
                <c:pt idx="106">
                  <c:v>4.68</c:v>
                </c:pt>
                <c:pt idx="107">
                  <c:v>4.4400000000000004</c:v>
                </c:pt>
                <c:pt idx="108">
                  <c:v>4.49</c:v>
                </c:pt>
                <c:pt idx="109">
                  <c:v>4.68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54-45AC-8FC9-BC0F696E34C5}"/>
            </c:ext>
          </c:extLst>
        </c:ser>
        <c:ser>
          <c:idx val="4"/>
          <c:order val="4"/>
          <c:tx>
            <c:v>Target Voltage</c:v>
          </c:tx>
          <c:spPr>
            <a:ln w="28575" cap="rnd">
              <a:solidFill>
                <a:schemeClr val="accent5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Sheet6!$P$2:$P$111</c:f>
              <c:numCache>
                <c:formatCode>0.00</c:formatCode>
                <c:ptCount val="110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54-45AC-8FC9-BC0F696E3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7790664"/>
        <c:axId val="2027785088"/>
      </c:lineChart>
      <c:catAx>
        <c:axId val="2027790664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785088"/>
        <c:crosses val="autoZero"/>
        <c:auto val="1"/>
        <c:lblAlgn val="ctr"/>
        <c:lblOffset val="100"/>
        <c:noMultiLvlLbl val="0"/>
      </c:catAx>
      <c:valAx>
        <c:axId val="2027785088"/>
        <c:scaling>
          <c:orientation val="minMax"/>
          <c:max val="7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790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4</xdr:row>
      <xdr:rowOff>144780</xdr:rowOff>
    </xdr:from>
    <xdr:to>
      <xdr:col>19</xdr:col>
      <xdr:colOff>403860</xdr:colOff>
      <xdr:row>27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271E7D-B17F-483B-B568-BC43174EB9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251460</xdr:colOff>
      <xdr:row>12</xdr:row>
      <xdr:rowOff>30480</xdr:rowOff>
    </xdr:from>
    <xdr:to>
      <xdr:col>19</xdr:col>
      <xdr:colOff>320040</xdr:colOff>
      <xdr:row>12</xdr:row>
      <xdr:rowOff>45720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39F71C5-FF7D-4F57-9013-548A5C3E309A}"/>
            </a:ext>
          </a:extLst>
        </xdr:cNvPr>
        <xdr:cNvCxnSpPr/>
      </xdr:nvCxnSpPr>
      <xdr:spPr>
        <a:xfrm flipV="1">
          <a:off x="5128260" y="2225040"/>
          <a:ext cx="6774180" cy="1524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22860</xdr:colOff>
      <xdr:row>10</xdr:row>
      <xdr:rowOff>129540</xdr:rowOff>
    </xdr:from>
    <xdr:to>
      <xdr:col>14</xdr:col>
      <xdr:colOff>312420</xdr:colOff>
      <xdr:row>11</xdr:row>
      <xdr:rowOff>160020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10E8EB4-549C-4357-89D0-8BC967D495EC}"/>
            </a:ext>
          </a:extLst>
        </xdr:cNvPr>
        <xdr:cNvSpPr txBox="1"/>
      </xdr:nvSpPr>
      <xdr:spPr>
        <a:xfrm>
          <a:off x="7947660" y="1958340"/>
          <a:ext cx="899160" cy="2133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Target:</a:t>
          </a:r>
          <a:r>
            <a:rPr lang="en-US" sz="1200" b="1" baseline="0"/>
            <a:t> 5 V</a:t>
          </a:r>
          <a:endParaRPr lang="en-US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259080</xdr:colOff>
      <xdr:row>3</xdr:row>
      <xdr:rowOff>22860</xdr:rowOff>
    </xdr:from>
    <xdr:to>
      <xdr:col>13</xdr:col>
      <xdr:colOff>358140</xdr:colOff>
      <xdr:row>30</xdr:row>
      <xdr:rowOff>60960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BDB83D2-C095-432B-AC9A-551FB95005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EDECAF7-7D90-436B-87C7-4D3F861FBCC0}" autoFormatId="16" applyNumberFormats="0" applyBorderFormats="0" applyFontFormats="0" applyPatternFormats="0" applyAlignmentFormats="0" applyWidthHeightFormats="0">
  <queryTableRefresh nextId="13">
    <queryTableFields count="12">
      <queryTableField id="1" name="Date" tableColumnId="1"/>
      <queryTableField id="2" name="Time" tableColumnId="2"/>
      <queryTableField id="3" name="Voltage L1N Avg" tableColumnId="3"/>
      <queryTableField id="4" name="Voltage NG Avg" tableColumnId="4"/>
      <queryTableField id="5" name="Peak Voltage L1N Avg" tableColumnId="5"/>
      <queryTableField id="6" name="Peak Voltage NG Avg" tableColumnId="6"/>
      <queryTableField id="7" name="Current L1 Avg" tableColumnId="7"/>
      <queryTableField id="8" name="Current N Avg" tableColumnId="8"/>
      <queryTableField id="9" name="Peak Current L1 Avg" tableColumnId="9"/>
      <queryTableField id="10" name="Peak Current N Avg" tableColumnId="10"/>
      <queryTableField id="11" name="Frequency Avg" tableColumnId="11"/>
      <queryTableField id="12" name="Column1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A5133221-DAB9-4FC8-820A-250B3B905181}" autoFormatId="16" applyNumberFormats="0" applyBorderFormats="0" applyFontFormats="0" applyPatternFormats="0" applyAlignmentFormats="0" applyWidthHeightFormats="0">
  <queryTableRefresh nextId="13">
    <queryTableFields count="12">
      <queryTableField id="1" name="Date" tableColumnId="1"/>
      <queryTableField id="2" name="Time" tableColumnId="2"/>
      <queryTableField id="3" name="Voltage L1N Avg" tableColumnId="3"/>
      <queryTableField id="4" name="Voltage NG Avg" tableColumnId="4"/>
      <queryTableField id="5" name="Peak Voltage L1N Avg" tableColumnId="5"/>
      <queryTableField id="6" name="Peak Voltage NG Avg" tableColumnId="6"/>
      <queryTableField id="7" name="Current L1 Avg" tableColumnId="7"/>
      <queryTableField id="8" name="Current N Avg" tableColumnId="8"/>
      <queryTableField id="9" name="Peak Current L1 Avg" tableColumnId="9"/>
      <queryTableField id="10" name="Peak Current N Avg" tableColumnId="10"/>
      <queryTableField id="11" name="Frequency Avg" tableColumnId="11"/>
      <queryTableField id="12" name="Column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BC84C84-EC8F-4242-BA4D-E78B45C3DFA4}" autoFormatId="16" applyNumberFormats="0" applyBorderFormats="0" applyFontFormats="0" applyPatternFormats="0" applyAlignmentFormats="0" applyWidthHeightFormats="0">
  <queryTableRefresh nextId="3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AC48E4-A544-44AD-A5C4-B5DAC3742325}" name="volt_var_7_19" displayName="volt_var_7_19" ref="A1:L403" tableType="queryTable" totalsRowShown="0">
  <autoFilter ref="A1:L403" xr:uid="{FD019F2F-90B8-4116-B80E-3D7800D9A838}"/>
  <tableColumns count="12">
    <tableColumn id="1" xr3:uid="{C6534C71-BFD1-4925-901B-CA7AA64D48B7}" uniqueName="1" name="Date" queryTableFieldId="1" dataDxfId="6"/>
    <tableColumn id="2" xr3:uid="{F1085213-473B-4B4A-9D80-49530486C33A}" uniqueName="2" name="Time" queryTableFieldId="2" dataDxfId="5"/>
    <tableColumn id="3" xr3:uid="{5CBE321D-D317-4B63-B8CA-4B65405F3816}" uniqueName="3" name="Voltage L1N Avg" queryTableFieldId="3"/>
    <tableColumn id="4" xr3:uid="{2003DEB3-5852-49AC-A596-06AB24032ED1}" uniqueName="4" name="Voltage NG Avg" queryTableFieldId="4"/>
    <tableColumn id="5" xr3:uid="{CC4A4274-30EB-4449-8497-5F29600EC643}" uniqueName="5" name="Peak Voltage L1N Avg" queryTableFieldId="5"/>
    <tableColumn id="6" xr3:uid="{79BEC97C-81CA-46E4-9207-1F338AA26BA9}" uniqueName="6" name="Peak Voltage NG Avg" queryTableFieldId="6"/>
    <tableColumn id="7" xr3:uid="{B4FBDC19-CA38-43CE-8830-6F69B1B1D96B}" uniqueName="7" name="Current L1 Avg" queryTableFieldId="7"/>
    <tableColumn id="8" xr3:uid="{9E704AA4-02D0-4A29-AB9A-D60AC335B389}" uniqueName="8" name="Current N Avg" queryTableFieldId="8"/>
    <tableColumn id="9" xr3:uid="{410A6831-F9A1-4BC2-989F-61D66F75504F}" uniqueName="9" name="Peak Current L1 Avg" queryTableFieldId="9"/>
    <tableColumn id="10" xr3:uid="{0326F3B6-6ACE-48A7-894C-0E88ECB91B73}" uniqueName="10" name="Peak Current N Avg" queryTableFieldId="10"/>
    <tableColumn id="11" xr3:uid="{DCF44AB1-336F-4DF0-9E27-0027E48116BE}" uniqueName="11" name="Frequency Avg" queryTableFieldId="11"/>
    <tableColumn id="12" xr3:uid="{AF1E5A8F-BF28-43BA-9CD7-44B0F59BA2A0}" uniqueName="12" name="Column1" queryTableFieldId="12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5C7003-705A-4F19-B176-54C5773FD809}" name="volt_var_no_chopper" displayName="volt_var_no_chopper" ref="A1:L959" tableType="queryTable" totalsRowShown="0">
  <autoFilter ref="A1:L959" xr:uid="{0B97A2F4-931B-4804-981E-0C983AA6DB78}">
    <filterColumn colId="1">
      <customFilters and="1">
        <customFilter operator="greaterThanOrEqual" val="0.82291666666666663"/>
        <customFilter operator="lessThanOrEqual" val="0.82430555555555562"/>
      </customFilters>
    </filterColumn>
  </autoFilter>
  <tableColumns count="12">
    <tableColumn id="1" xr3:uid="{DB694D98-79F7-4BAF-A468-9C9688C95C52}" uniqueName="1" name="Date" queryTableFieldId="1" dataDxfId="3"/>
    <tableColumn id="2" xr3:uid="{44E02D9F-C276-4FD5-BB92-E1DA2D690F28}" uniqueName="2" name="Time" queryTableFieldId="2" dataDxfId="2"/>
    <tableColumn id="3" xr3:uid="{8C44A2C4-471D-454A-8E24-EA86585B413E}" uniqueName="3" name="Voltage L1N Avg" queryTableFieldId="3"/>
    <tableColumn id="4" xr3:uid="{1A890ECF-2610-476C-A55D-434052B52EE0}" uniqueName="4" name="Voltage NG Avg" queryTableFieldId="4"/>
    <tableColumn id="5" xr3:uid="{2F13E813-E3BB-4F68-9177-42F88B279697}" uniqueName="5" name="Peak Voltage L1N Avg" queryTableFieldId="5"/>
    <tableColumn id="6" xr3:uid="{91ECB4FA-B966-4A3C-875B-44E1AB185CC3}" uniqueName="6" name="Peak Voltage NG Avg" queryTableFieldId="6"/>
    <tableColumn id="7" xr3:uid="{3A6BF8E5-48F5-4084-B019-0AF809E07EA1}" uniqueName="7" name="Current L1 Avg" queryTableFieldId="7"/>
    <tableColumn id="8" xr3:uid="{6CE166FA-D379-4B56-B958-09040A7540EC}" uniqueName="8" name="Current N Avg" queryTableFieldId="8"/>
    <tableColumn id="9" xr3:uid="{0F94B2C4-0929-476A-AE34-47CBB6363C59}" uniqueName="9" name="Peak Current L1 Avg" queryTableFieldId="9"/>
    <tableColumn id="10" xr3:uid="{128843AE-54D8-4412-91BB-FE53DC55F678}" uniqueName="10" name="Peak Current N Avg" queryTableFieldId="10"/>
    <tableColumn id="11" xr3:uid="{8C7BD4D4-D64C-42E8-863C-5825AC883093}" uniqueName="11" name="Frequency Avg" queryTableFieldId="11"/>
    <tableColumn id="12" xr3:uid="{7BE37D0D-643A-4EAE-91FF-4331A857BA17}" uniqueName="12" name="Column1" queryTableFieldId="12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CECC6E7-8EFD-4A2C-B1A7-6BFE63DC35B9}" name="Table2_2" displayName="Table2_2" ref="B2:C26" tableType="queryTable" totalsRowShown="0">
  <autoFilter ref="B2:C26" xr:uid="{5E1AECE4-C9F2-472B-92F2-4F3AD1409074}"/>
  <tableColumns count="2">
    <tableColumn id="1" xr3:uid="{EFC86E06-E025-4FA0-9326-9122D3CA405B}" uniqueName="1" name="PWM Values" queryTableFieldId="1"/>
    <tableColumn id="2" xr3:uid="{89611AB5-E291-439B-BDED-3B728C8BE7FD}" uniqueName="2" name="Resistance" queryTableFieldId="2" dataDxfId="0">
      <calculatedColumnFormula>A3*2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9E4249-EA28-4531-98FA-2B635C1FD2F6}" name="Table2" displayName="Table2" ref="A1:A2" totalsRowShown="0">
  <autoFilter ref="A1:A2" xr:uid="{9408D35B-FDD0-4636-A114-A5E47A811384}"/>
  <tableColumns count="1">
    <tableColumn id="1" xr3:uid="{CAF9F910-53B5-4F75-91DC-D9133E06465B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76"/>
  <sheetViews>
    <sheetView workbookViewId="0"/>
  </sheetViews>
  <sheetFormatPr defaultRowHeight="14.4" x14ac:dyDescent="0.3"/>
  <sheetData>
    <row r="1" spans="1:13" x14ac:dyDescent="0.3">
      <c r="A1" t="s">
        <v>0</v>
      </c>
      <c r="B1" t="s">
        <v>1</v>
      </c>
      <c r="C1" t="s">
        <v>2</v>
      </c>
    </row>
    <row r="2" spans="1:13" x14ac:dyDescent="0.3">
      <c r="A2">
        <v>0.11799999999999999</v>
      </c>
      <c r="B2">
        <v>1.24</v>
      </c>
      <c r="C2">
        <f>B2/A2</f>
        <v>10.508474576271187</v>
      </c>
      <c r="F2">
        <v>0.115</v>
      </c>
      <c r="G2">
        <v>1.74</v>
      </c>
      <c r="H2">
        <v>1.5399999999999989</v>
      </c>
      <c r="I2">
        <f>G2/F2</f>
        <v>15.130434782608695</v>
      </c>
    </row>
    <row r="3" spans="1:13" x14ac:dyDescent="0.3">
      <c r="A3">
        <v>0.51</v>
      </c>
      <c r="B3">
        <v>4.32</v>
      </c>
      <c r="C3">
        <f t="shared" ref="C3:C11" si="0">B3/A3</f>
        <v>8.4705882352941178</v>
      </c>
      <c r="F3">
        <v>0.17399999999999999</v>
      </c>
      <c r="G3">
        <v>2.6</v>
      </c>
      <c r="I3">
        <f>G3/F3</f>
        <v>14.942528735632186</v>
      </c>
      <c r="J3">
        <f>ROUND(K3,3)</f>
        <v>15.036</v>
      </c>
      <c r="K3">
        <v>15.036</v>
      </c>
      <c r="L3">
        <v>1</v>
      </c>
      <c r="M3" t="str">
        <f>K3&amp;", "&amp;K5&amp;", "&amp;K7&amp;", "&amp;K9&amp;", "&amp;K11&amp;", "&amp;K12&amp;", "&amp;K13&amp;", "&amp;K15&amp;", "&amp;K17&amp;", "&amp;K20&amp;", "</f>
        <v xml:space="preserve">15.036, 15.293, 14.706, 13.573, 12.272, 10.949, 10.331, 10.466, 10.923, 11.879, </v>
      </c>
    </row>
    <row r="4" spans="1:13" x14ac:dyDescent="0.3">
      <c r="A4">
        <v>0.8</v>
      </c>
      <c r="B4">
        <v>5.76</v>
      </c>
      <c r="C4">
        <f t="shared" si="0"/>
        <v>7.1999999999999993</v>
      </c>
      <c r="F4">
        <v>0.23599999999999999</v>
      </c>
      <c r="G4">
        <v>3.62</v>
      </c>
      <c r="I4">
        <f>G4/F4</f>
        <v>15.338983050847459</v>
      </c>
      <c r="J4">
        <f t="shared" ref="J4:J20" si="1">ROUND(K4,3)</f>
        <v>0</v>
      </c>
      <c r="K4">
        <v>0</v>
      </c>
    </row>
    <row r="5" spans="1:13" x14ac:dyDescent="0.3">
      <c r="A5">
        <v>0.97</v>
      </c>
      <c r="B5">
        <v>7.94</v>
      </c>
      <c r="C5">
        <f t="shared" si="0"/>
        <v>8.1855670103092795</v>
      </c>
      <c r="F5">
        <v>0.26300000000000001</v>
      </c>
      <c r="G5">
        <v>4.01</v>
      </c>
      <c r="I5">
        <f>G5/F5</f>
        <v>15.247148288973383</v>
      </c>
      <c r="J5">
        <f t="shared" si="1"/>
        <v>15.292999999999999</v>
      </c>
      <c r="K5">
        <v>15.292999999999999</v>
      </c>
      <c r="L5">
        <v>2</v>
      </c>
    </row>
    <row r="6" spans="1:13" x14ac:dyDescent="0.3">
      <c r="A6">
        <v>1.1200000000000001</v>
      </c>
      <c r="B6">
        <v>10.199999999999999</v>
      </c>
      <c r="C6">
        <f t="shared" si="0"/>
        <v>9.1071428571428559</v>
      </c>
      <c r="F6">
        <v>0.32900000000000001</v>
      </c>
      <c r="G6">
        <v>4.87</v>
      </c>
      <c r="I6">
        <f>G6/F6</f>
        <v>14.802431610942248</v>
      </c>
      <c r="J6">
        <f t="shared" si="1"/>
        <v>0</v>
      </c>
      <c r="K6">
        <v>0</v>
      </c>
    </row>
    <row r="7" spans="1:13" x14ac:dyDescent="0.3">
      <c r="A7">
        <v>1.1779999999999999</v>
      </c>
      <c r="B7">
        <v>11.1</v>
      </c>
      <c r="C7">
        <f t="shared" si="0"/>
        <v>9.4227504244482176</v>
      </c>
      <c r="F7">
        <v>0.371</v>
      </c>
      <c r="G7">
        <v>5.62</v>
      </c>
      <c r="H7">
        <v>5.419999999999999</v>
      </c>
      <c r="I7">
        <f>H7/F7</f>
        <v>14.609164420485174</v>
      </c>
      <c r="J7">
        <f t="shared" si="1"/>
        <v>14.706</v>
      </c>
      <c r="K7">
        <v>14.706</v>
      </c>
      <c r="L7">
        <v>3</v>
      </c>
    </row>
    <row r="8" spans="1:13" x14ac:dyDescent="0.3">
      <c r="A8">
        <v>1.214</v>
      </c>
      <c r="B8">
        <v>12</v>
      </c>
      <c r="C8">
        <f t="shared" si="0"/>
        <v>9.8846787479406917</v>
      </c>
      <c r="F8">
        <v>0.438</v>
      </c>
      <c r="G8">
        <v>6.29</v>
      </c>
      <c r="H8">
        <v>6.089999999999999</v>
      </c>
      <c r="I8">
        <f>H8/F8</f>
        <v>13.904109589041093</v>
      </c>
      <c r="J8">
        <f t="shared" si="1"/>
        <v>0</v>
      </c>
      <c r="K8">
        <v>0</v>
      </c>
    </row>
    <row r="9" spans="1:13" x14ac:dyDescent="0.3">
      <c r="A9">
        <v>0.27900000000000003</v>
      </c>
      <c r="B9">
        <v>2.85</v>
      </c>
      <c r="C9">
        <f t="shared" si="0"/>
        <v>10.21505376344086</v>
      </c>
      <c r="F9">
        <v>0.47199999999999998</v>
      </c>
      <c r="G9">
        <v>6.45</v>
      </c>
      <c r="H9">
        <v>6.2499999999999991</v>
      </c>
      <c r="I9">
        <f>H9/F9</f>
        <v>13.241525423728813</v>
      </c>
      <c r="J9">
        <f t="shared" si="1"/>
        <v>13.573</v>
      </c>
      <c r="K9">
        <v>13.573</v>
      </c>
      <c r="L9">
        <v>4</v>
      </c>
    </row>
    <row r="10" spans="1:13" x14ac:dyDescent="0.3">
      <c r="A10">
        <v>0.31900000000000001</v>
      </c>
      <c r="B10">
        <v>3.3</v>
      </c>
      <c r="C10">
        <f t="shared" si="0"/>
        <v>10.344827586206895</v>
      </c>
      <c r="F10">
        <v>0.52100000000000002</v>
      </c>
      <c r="G10">
        <v>6.69</v>
      </c>
      <c r="H10">
        <v>6.4899999999999993</v>
      </c>
      <c r="I10">
        <f>H10/F10</f>
        <v>12.456813819577734</v>
      </c>
      <c r="J10">
        <f t="shared" si="1"/>
        <v>0</v>
      </c>
      <c r="K10">
        <v>0</v>
      </c>
    </row>
    <row r="11" spans="1:13" x14ac:dyDescent="0.3">
      <c r="A11">
        <v>0.496</v>
      </c>
      <c r="B11">
        <v>4.28</v>
      </c>
      <c r="C11">
        <f t="shared" si="0"/>
        <v>8.629032258064516</v>
      </c>
      <c r="D11">
        <f>AVERAGE(C2:C11)</f>
        <v>9.19681154591186</v>
      </c>
      <c r="F11">
        <v>0.54600000000000004</v>
      </c>
      <c r="G11">
        <v>6.72</v>
      </c>
      <c r="H11">
        <v>6.6</v>
      </c>
      <c r="I11">
        <f>H11/F11</f>
        <v>12.087912087912086</v>
      </c>
      <c r="J11">
        <f t="shared" si="1"/>
        <v>12.272</v>
      </c>
      <c r="K11">
        <v>12.272</v>
      </c>
      <c r="L11">
        <v>5</v>
      </c>
    </row>
    <row r="12" spans="1:13" x14ac:dyDescent="0.3">
      <c r="F12">
        <v>0.65300000000000002</v>
      </c>
      <c r="G12">
        <v>7.35</v>
      </c>
      <c r="H12">
        <v>7.1499999999999986</v>
      </c>
      <c r="I12">
        <f t="shared" ref="I12:I20" si="2">H12/F12</f>
        <v>10.949464012251147</v>
      </c>
      <c r="J12">
        <f t="shared" si="1"/>
        <v>10.949</v>
      </c>
      <c r="K12">
        <v>10.949</v>
      </c>
      <c r="L12">
        <v>6</v>
      </c>
    </row>
    <row r="13" spans="1:13" x14ac:dyDescent="0.3">
      <c r="A13">
        <v>0.23100000000000001</v>
      </c>
      <c r="B13">
        <v>1.53</v>
      </c>
      <c r="C13">
        <f>B13/A13</f>
        <v>6.6233766233766236</v>
      </c>
      <c r="D13">
        <f>AVERAGE(C13:C23)</f>
        <v>10.300509759916482</v>
      </c>
      <c r="F13">
        <v>0.755</v>
      </c>
      <c r="G13">
        <v>8</v>
      </c>
      <c r="H13">
        <v>7.7999999999999989</v>
      </c>
      <c r="I13">
        <f t="shared" si="2"/>
        <v>10.331125827814567</v>
      </c>
      <c r="J13">
        <f t="shared" si="1"/>
        <v>10.331</v>
      </c>
      <c r="K13">
        <v>10.331</v>
      </c>
      <c r="L13">
        <v>7</v>
      </c>
    </row>
    <row r="14" spans="1:13" x14ac:dyDescent="0.3">
      <c r="A14">
        <v>0.26300000000000001</v>
      </c>
      <c r="B14">
        <v>2.41</v>
      </c>
      <c r="C14">
        <f t="shared" ref="C14:C24" si="3">B14/A14</f>
        <v>9.163498098859316</v>
      </c>
      <c r="F14">
        <v>0.8</v>
      </c>
      <c r="G14">
        <v>8.57</v>
      </c>
      <c r="H14">
        <v>8.3699999999999992</v>
      </c>
      <c r="I14">
        <f t="shared" si="2"/>
        <v>10.462499999999999</v>
      </c>
      <c r="J14">
        <f t="shared" si="1"/>
        <v>0</v>
      </c>
      <c r="K14">
        <v>0</v>
      </c>
    </row>
    <row r="15" spans="1:13" x14ac:dyDescent="0.3">
      <c r="A15">
        <v>0.32900000000000001</v>
      </c>
      <c r="B15">
        <v>3.79</v>
      </c>
      <c r="C15">
        <f t="shared" si="3"/>
        <v>11.519756838905774</v>
      </c>
      <c r="F15">
        <v>0.85199999999999998</v>
      </c>
      <c r="G15">
        <v>9.1199999999999992</v>
      </c>
      <c r="H15">
        <v>8.9199999999999982</v>
      </c>
      <c r="I15">
        <f t="shared" si="2"/>
        <v>10.469483568075116</v>
      </c>
      <c r="J15">
        <f t="shared" si="1"/>
        <v>10.465999999999999</v>
      </c>
      <c r="K15">
        <v>10.465999999999999</v>
      </c>
      <c r="L15">
        <v>8</v>
      </c>
    </row>
    <row r="16" spans="1:13" x14ac:dyDescent="0.3">
      <c r="A16">
        <v>0.371</v>
      </c>
      <c r="B16">
        <v>4.71</v>
      </c>
      <c r="C16">
        <f t="shared" si="3"/>
        <v>12.695417789757412</v>
      </c>
      <c r="F16">
        <v>0.95399999999999996</v>
      </c>
      <c r="G16">
        <v>10.3</v>
      </c>
      <c r="H16">
        <v>10.1</v>
      </c>
      <c r="I16">
        <f t="shared" si="2"/>
        <v>10.587002096436059</v>
      </c>
      <c r="J16">
        <f t="shared" si="1"/>
        <v>0</v>
      </c>
      <c r="K16">
        <v>0</v>
      </c>
    </row>
    <row r="17" spans="1:12" x14ac:dyDescent="0.3">
      <c r="A17">
        <v>0.54700000000000004</v>
      </c>
      <c r="B17">
        <v>6.11</v>
      </c>
      <c r="C17">
        <f t="shared" si="3"/>
        <v>11.170018281535649</v>
      </c>
      <c r="F17">
        <v>0.97699999999999998</v>
      </c>
      <c r="G17">
        <v>11.2</v>
      </c>
      <c r="H17">
        <v>10.999999999999998</v>
      </c>
      <c r="I17">
        <f t="shared" si="2"/>
        <v>11.258955987717501</v>
      </c>
      <c r="J17">
        <f t="shared" si="1"/>
        <v>10.923</v>
      </c>
      <c r="K17">
        <v>10.923</v>
      </c>
      <c r="L17">
        <v>9</v>
      </c>
    </row>
    <row r="18" spans="1:12" x14ac:dyDescent="0.3">
      <c r="A18">
        <v>0.65300000000000002</v>
      </c>
      <c r="B18">
        <v>6.68</v>
      </c>
      <c r="C18">
        <f t="shared" si="3"/>
        <v>10.229709035222051</v>
      </c>
      <c r="F18">
        <v>1.0209999999999999</v>
      </c>
      <c r="G18">
        <v>11.9</v>
      </c>
      <c r="H18">
        <v>11.7</v>
      </c>
      <c r="I18">
        <f t="shared" si="2"/>
        <v>11.459353574926544</v>
      </c>
      <c r="J18">
        <f t="shared" si="1"/>
        <v>0</v>
      </c>
      <c r="K18">
        <v>0</v>
      </c>
    </row>
    <row r="19" spans="1:12" x14ac:dyDescent="0.3">
      <c r="A19">
        <v>0.85199999999999998</v>
      </c>
      <c r="B19">
        <v>7.97</v>
      </c>
      <c r="C19">
        <f t="shared" si="3"/>
        <v>9.354460093896714</v>
      </c>
      <c r="F19">
        <v>1.0549999999999999</v>
      </c>
      <c r="G19">
        <v>12.7</v>
      </c>
      <c r="H19">
        <v>12.499999999999998</v>
      </c>
      <c r="I19">
        <f t="shared" si="2"/>
        <v>11.848341232227487</v>
      </c>
      <c r="J19">
        <f t="shared" si="1"/>
        <v>0</v>
      </c>
      <c r="K19">
        <v>0</v>
      </c>
    </row>
    <row r="20" spans="1:12" x14ac:dyDescent="0.3">
      <c r="A20">
        <v>0.95399999999999996</v>
      </c>
      <c r="B20">
        <v>9.3800000000000008</v>
      </c>
      <c r="C20">
        <f t="shared" si="3"/>
        <v>9.8322851153039839</v>
      </c>
      <c r="F20">
        <v>1.095</v>
      </c>
      <c r="G20">
        <v>13.7</v>
      </c>
      <c r="H20">
        <v>13.499999999999998</v>
      </c>
      <c r="I20">
        <f t="shared" si="2"/>
        <v>12.328767123287671</v>
      </c>
      <c r="J20">
        <f t="shared" si="1"/>
        <v>11.879</v>
      </c>
      <c r="K20">
        <v>11.879</v>
      </c>
      <c r="L20">
        <v>10</v>
      </c>
    </row>
    <row r="21" spans="1:12" x14ac:dyDescent="0.3">
      <c r="A21">
        <v>0.97699999999999998</v>
      </c>
      <c r="B21">
        <v>10.3</v>
      </c>
      <c r="C21">
        <f t="shared" si="3"/>
        <v>10.542476970317299</v>
      </c>
    </row>
    <row r="22" spans="1:12" x14ac:dyDescent="0.3">
      <c r="A22">
        <v>1.0529999999999999</v>
      </c>
      <c r="B22">
        <v>11.5</v>
      </c>
      <c r="C22">
        <f t="shared" si="3"/>
        <v>10.921177587844255</v>
      </c>
    </row>
    <row r="23" spans="1:12" x14ac:dyDescent="0.3">
      <c r="A23">
        <v>1.093</v>
      </c>
      <c r="B23">
        <v>12.3</v>
      </c>
      <c r="C23">
        <f t="shared" si="3"/>
        <v>11.253430924062215</v>
      </c>
    </row>
    <row r="24" spans="1:12" x14ac:dyDescent="0.3">
      <c r="A24">
        <v>1.0509999999999999</v>
      </c>
      <c r="B24">
        <v>11</v>
      </c>
      <c r="C24">
        <f t="shared" si="3"/>
        <v>10.466222645099906</v>
      </c>
      <c r="D24" t="s">
        <v>3</v>
      </c>
    </row>
    <row r="26" spans="1:12" ht="18" x14ac:dyDescent="0.3">
      <c r="C26" s="1">
        <v>6.0872999999999999</v>
      </c>
      <c r="D26" s="1">
        <v>615.09069999999997</v>
      </c>
      <c r="E26" s="3">
        <f>D26/(10000000)</f>
        <v>6.1509070000000002E-5</v>
      </c>
      <c r="G26">
        <f>0.001*10^9</f>
        <v>1000000</v>
      </c>
    </row>
    <row r="27" spans="1:12" x14ac:dyDescent="0.3">
      <c r="C27">
        <f>1/(600*0.001*120*3.14159)</f>
        <v>4.4209743756788407E-3</v>
      </c>
      <c r="D27" s="4">
        <f>C27+E26</f>
        <v>4.4824834456788408E-3</v>
      </c>
      <c r="E27">
        <f>C26/1000</f>
        <v>6.0873000000000003E-3</v>
      </c>
      <c r="G27">
        <f>G26/12.5</f>
        <v>80000</v>
      </c>
      <c r="H27">
        <f>120*0.01</f>
        <v>1.2</v>
      </c>
    </row>
    <row r="29" spans="1:12" x14ac:dyDescent="0.3">
      <c r="A29" t="s">
        <v>4</v>
      </c>
      <c r="B29" t="s">
        <v>5</v>
      </c>
      <c r="C29" t="s">
        <v>1</v>
      </c>
      <c r="D29" t="s">
        <v>2</v>
      </c>
      <c r="E29" s="2" t="s">
        <v>6</v>
      </c>
    </row>
    <row r="30" spans="1:12" x14ac:dyDescent="0.3">
      <c r="B30">
        <v>4.8000000000000001E-2</v>
      </c>
      <c r="C30">
        <v>0.7</v>
      </c>
      <c r="D30">
        <f>C30/B30</f>
        <v>14.583333333333332</v>
      </c>
      <c r="E30">
        <f>AVERAGE(D30:D31)</f>
        <v>15.083874458874458</v>
      </c>
      <c r="F30">
        <v>0</v>
      </c>
    </row>
    <row r="31" spans="1:12" x14ac:dyDescent="0.3">
      <c r="A31">
        <v>78</v>
      </c>
      <c r="B31">
        <v>7.6999999999999999E-2</v>
      </c>
      <c r="C31">
        <v>1.2</v>
      </c>
      <c r="D31">
        <f t="shared" ref="D31:D46" si="4">C31/B31</f>
        <v>15.584415584415584</v>
      </c>
    </row>
    <row r="32" spans="1:12" x14ac:dyDescent="0.3">
      <c r="B32">
        <v>0.107</v>
      </c>
      <c r="C32">
        <v>1.617</v>
      </c>
      <c r="D32">
        <f t="shared" si="4"/>
        <v>15.11214953271028</v>
      </c>
      <c r="E32">
        <f>AVERAGE(D32:D36)</f>
        <v>15.04540892028194</v>
      </c>
      <c r="F32">
        <v>1</v>
      </c>
    </row>
    <row r="33" spans="2:9" x14ac:dyDescent="0.3">
      <c r="B33">
        <v>0.13200000000000001</v>
      </c>
      <c r="C33">
        <v>1.9890000000000001</v>
      </c>
      <c r="D33">
        <f t="shared" si="4"/>
        <v>15.068181818181818</v>
      </c>
    </row>
    <row r="34" spans="2:9" x14ac:dyDescent="0.3">
      <c r="B34">
        <v>0.13800000000000001</v>
      </c>
      <c r="C34">
        <v>2.0670000000000002</v>
      </c>
      <c r="D34">
        <f t="shared" si="4"/>
        <v>14.978260869565217</v>
      </c>
    </row>
    <row r="35" spans="2:9" x14ac:dyDescent="0.3">
      <c r="B35">
        <v>0.16800000000000001</v>
      </c>
      <c r="C35">
        <v>2.5350000000000001</v>
      </c>
      <c r="D35">
        <f t="shared" si="4"/>
        <v>15.089285714285714</v>
      </c>
    </row>
    <row r="36" spans="2:9" x14ac:dyDescent="0.3">
      <c r="B36">
        <v>0.192</v>
      </c>
      <c r="C36">
        <v>2.8759999999999999</v>
      </c>
      <c r="D36">
        <f>C36/B36</f>
        <v>14.979166666666666</v>
      </c>
      <c r="I36">
        <f>AVERAGE(D37:D40)</f>
        <v>14.710337167979574</v>
      </c>
    </row>
    <row r="37" spans="2:9" x14ac:dyDescent="0.3">
      <c r="B37">
        <v>0.20300000000000001</v>
      </c>
      <c r="C37">
        <v>2.976</v>
      </c>
      <c r="D37">
        <f>C37/B37</f>
        <v>14.660098522167486</v>
      </c>
      <c r="E37">
        <f>AVERAGE(D37:D40)</f>
        <v>14.710337167979574</v>
      </c>
      <c r="F37">
        <v>2</v>
      </c>
    </row>
    <row r="38" spans="2:9" x14ac:dyDescent="0.3">
      <c r="B38">
        <v>0.222</v>
      </c>
      <c r="C38">
        <v>3.2919999999999998</v>
      </c>
      <c r="D38">
        <f t="shared" si="4"/>
        <v>14.828828828828827</v>
      </c>
    </row>
    <row r="39" spans="2:9" x14ac:dyDescent="0.3">
      <c r="B39">
        <v>0.25600000000000001</v>
      </c>
      <c r="C39">
        <v>3.7650000000000001</v>
      </c>
      <c r="D39">
        <f t="shared" si="4"/>
        <v>14.70703125</v>
      </c>
    </row>
    <row r="40" spans="2:9" x14ac:dyDescent="0.3">
      <c r="B40">
        <v>0.28199999999999997</v>
      </c>
      <c r="C40">
        <v>4.13</v>
      </c>
      <c r="D40">
        <f t="shared" si="4"/>
        <v>14.645390070921987</v>
      </c>
    </row>
    <row r="41" spans="2:9" x14ac:dyDescent="0.3">
      <c r="B41">
        <v>0.30499999999999999</v>
      </c>
      <c r="C41">
        <v>4.4400000000000004</v>
      </c>
      <c r="D41">
        <f t="shared" si="4"/>
        <v>14.55737704918033</v>
      </c>
      <c r="E41">
        <f>AVERAGE(D41:D44)</f>
        <v>14.589451073290723</v>
      </c>
      <c r="F41">
        <v>3</v>
      </c>
    </row>
    <row r="42" spans="2:9" x14ac:dyDescent="0.3">
      <c r="B42">
        <v>0.313</v>
      </c>
      <c r="C42">
        <v>4.58</v>
      </c>
      <c r="D42">
        <f t="shared" si="4"/>
        <v>14.63258785942492</v>
      </c>
    </row>
    <row r="43" spans="2:9" x14ac:dyDescent="0.3">
      <c r="B43">
        <v>0.34200000000000003</v>
      </c>
      <c r="C43">
        <v>5.01</v>
      </c>
      <c r="D43">
        <f t="shared" si="4"/>
        <v>14.649122807017543</v>
      </c>
    </row>
    <row r="44" spans="2:9" x14ac:dyDescent="0.3">
      <c r="B44">
        <v>0.374</v>
      </c>
      <c r="C44">
        <v>5.43</v>
      </c>
      <c r="D44">
        <f t="shared" si="4"/>
        <v>14.518716577540106</v>
      </c>
    </row>
    <row r="45" spans="2:9" x14ac:dyDescent="0.3">
      <c r="B45">
        <v>0.44500000000000001</v>
      </c>
      <c r="C45">
        <v>5.88</v>
      </c>
      <c r="D45">
        <f t="shared" si="4"/>
        <v>13.213483146067416</v>
      </c>
      <c r="E45">
        <f>AVERAGE(D45)</f>
        <v>13.213483146067416</v>
      </c>
      <c r="F45">
        <v>4</v>
      </c>
    </row>
    <row r="46" spans="2:9" x14ac:dyDescent="0.3">
      <c r="B46">
        <v>0.52800000000000002</v>
      </c>
      <c r="C46">
        <v>6.23</v>
      </c>
      <c r="D46">
        <f t="shared" si="4"/>
        <v>11.799242424242424</v>
      </c>
      <c r="E46">
        <f>AVERAGE(D46:D47)</f>
        <v>11.716134973589101</v>
      </c>
      <c r="F46">
        <v>5</v>
      </c>
    </row>
    <row r="47" spans="2:9" x14ac:dyDescent="0.3">
      <c r="B47">
        <v>0.54500000000000004</v>
      </c>
      <c r="C47">
        <v>6.34</v>
      </c>
      <c r="D47">
        <f>C47/B47</f>
        <v>11.633027522935778</v>
      </c>
    </row>
    <row r="48" spans="2:9" x14ac:dyDescent="0.3">
      <c r="B48">
        <v>0.62</v>
      </c>
      <c r="C48">
        <v>6.72</v>
      </c>
      <c r="D48">
        <f>C48/B48</f>
        <v>10.838709677419354</v>
      </c>
      <c r="E48">
        <f>AVERAGE(D48:D49)</f>
        <v>10.679771505376344</v>
      </c>
      <c r="F48">
        <v>6</v>
      </c>
    </row>
    <row r="49" spans="1:6" x14ac:dyDescent="0.3">
      <c r="B49">
        <v>0.67200000000000004</v>
      </c>
      <c r="C49">
        <v>7.07</v>
      </c>
      <c r="D49">
        <f>C49/B49</f>
        <v>10.520833333333334</v>
      </c>
    </row>
    <row r="52" spans="1:6" x14ac:dyDescent="0.3">
      <c r="B52" t="s">
        <v>5</v>
      </c>
      <c r="C52" t="s">
        <v>1</v>
      </c>
      <c r="D52" t="s">
        <v>2</v>
      </c>
      <c r="E52" t="s">
        <v>7</v>
      </c>
    </row>
    <row r="53" spans="1:6" x14ac:dyDescent="0.3">
      <c r="A53">
        <f>B53/1000</f>
        <v>8.9999999999999993E-3</v>
      </c>
      <c r="B53">
        <v>9</v>
      </c>
      <c r="C53">
        <v>0.11</v>
      </c>
      <c r="D53">
        <f>C53/A53</f>
        <v>12.222222222222223</v>
      </c>
      <c r="E53">
        <f>AVERAGE(D53:D57)</f>
        <v>14.248753871467287</v>
      </c>
    </row>
    <row r="54" spans="1:6" x14ac:dyDescent="0.3">
      <c r="A54">
        <f t="shared" ref="A54:A75" si="5">B54/1000</f>
        <v>3.5999999999999997E-2</v>
      </c>
      <c r="B54">
        <v>36</v>
      </c>
      <c r="C54">
        <v>0.53</v>
      </c>
      <c r="D54">
        <f t="shared" ref="D54:D76" si="6">C54/A54</f>
        <v>14.722222222222223</v>
      </c>
    </row>
    <row r="55" spans="1:6" x14ac:dyDescent="0.3">
      <c r="A55">
        <f t="shared" si="5"/>
        <v>5.6000000000000001E-2</v>
      </c>
      <c r="B55">
        <v>56</v>
      </c>
      <c r="C55">
        <v>0.83</v>
      </c>
      <c r="D55">
        <f t="shared" si="6"/>
        <v>14.821428571428571</v>
      </c>
      <c r="F55">
        <f>AVERAGE(D54:D76)</f>
        <v>14.641770058060349</v>
      </c>
    </row>
    <row r="56" spans="1:6" x14ac:dyDescent="0.3">
      <c r="A56">
        <f t="shared" si="5"/>
        <v>6.4000000000000001E-2</v>
      </c>
      <c r="B56">
        <v>64</v>
      </c>
      <c r="C56">
        <v>0.95</v>
      </c>
      <c r="D56">
        <f t="shared" si="6"/>
        <v>14.843749999999998</v>
      </c>
    </row>
    <row r="57" spans="1:6" x14ac:dyDescent="0.3">
      <c r="A57">
        <f t="shared" si="5"/>
        <v>8.2000000000000003E-2</v>
      </c>
      <c r="B57">
        <v>82</v>
      </c>
      <c r="C57">
        <v>1.2</v>
      </c>
      <c r="D57">
        <f t="shared" si="6"/>
        <v>14.634146341463413</v>
      </c>
    </row>
    <row r="58" spans="1:6" x14ac:dyDescent="0.3">
      <c r="A58">
        <f t="shared" si="5"/>
        <v>0.109</v>
      </c>
      <c r="B58">
        <f>(111+107)/2</f>
        <v>109</v>
      </c>
      <c r="C58">
        <v>1.6</v>
      </c>
      <c r="D58">
        <f t="shared" si="6"/>
        <v>14.678899082568808</v>
      </c>
      <c r="E58">
        <f>AVERAGE(D58:D62)</f>
        <v>14.654422198463681</v>
      </c>
    </row>
    <row r="59" spans="1:6" x14ac:dyDescent="0.3">
      <c r="A59">
        <f t="shared" si="5"/>
        <v>0.123</v>
      </c>
      <c r="B59">
        <v>123</v>
      </c>
      <c r="C59">
        <v>1.79</v>
      </c>
      <c r="D59">
        <f t="shared" si="6"/>
        <v>14.552845528455284</v>
      </c>
    </row>
    <row r="60" spans="1:6" x14ac:dyDescent="0.3">
      <c r="A60">
        <f t="shared" si="5"/>
        <v>0.14199999999999999</v>
      </c>
      <c r="B60">
        <v>142</v>
      </c>
      <c r="C60">
        <v>2.1</v>
      </c>
      <c r="D60">
        <f t="shared" si="6"/>
        <v>14.7887323943662</v>
      </c>
    </row>
    <row r="61" spans="1:6" x14ac:dyDescent="0.3">
      <c r="A61">
        <f t="shared" si="5"/>
        <v>0.153</v>
      </c>
      <c r="B61">
        <v>153</v>
      </c>
      <c r="C61">
        <v>2.2400000000000002</v>
      </c>
      <c r="D61">
        <f t="shared" si="6"/>
        <v>14.640522875816995</v>
      </c>
    </row>
    <row r="62" spans="1:6" x14ac:dyDescent="0.3">
      <c r="A62">
        <f t="shared" si="5"/>
        <v>0.18</v>
      </c>
      <c r="B62">
        <v>180</v>
      </c>
      <c r="C62">
        <v>2.63</v>
      </c>
      <c r="D62">
        <f t="shared" si="6"/>
        <v>14.611111111111111</v>
      </c>
    </row>
    <row r="63" spans="1:6" x14ac:dyDescent="0.3">
      <c r="A63">
        <f t="shared" si="5"/>
        <v>0.193</v>
      </c>
      <c r="B63">
        <v>193</v>
      </c>
      <c r="C63">
        <v>2.8</v>
      </c>
      <c r="D63">
        <f t="shared" si="6"/>
        <v>14.507772020725387</v>
      </c>
      <c r="E63">
        <f>AVERAGE(D63:D66)</f>
        <v>14.638769017239916</v>
      </c>
    </row>
    <row r="64" spans="1:6" x14ac:dyDescent="0.3">
      <c r="A64">
        <f t="shared" si="5"/>
        <v>0.215</v>
      </c>
      <c r="B64">
        <v>215</v>
      </c>
      <c r="C64">
        <v>3.16</v>
      </c>
      <c r="D64">
        <f t="shared" si="6"/>
        <v>14.697674418604652</v>
      </c>
    </row>
    <row r="65" spans="1:5" x14ac:dyDescent="0.3">
      <c r="A65">
        <f t="shared" si="5"/>
        <v>0.25</v>
      </c>
      <c r="B65">
        <v>250</v>
      </c>
      <c r="C65">
        <v>3.68</v>
      </c>
      <c r="D65">
        <f t="shared" si="6"/>
        <v>14.72</v>
      </c>
    </row>
    <row r="66" spans="1:5" x14ac:dyDescent="0.3">
      <c r="A66">
        <f t="shared" si="5"/>
        <v>0.27</v>
      </c>
      <c r="B66">
        <v>270</v>
      </c>
      <c r="C66">
        <v>3.95</v>
      </c>
      <c r="D66">
        <f t="shared" si="6"/>
        <v>14.62962962962963</v>
      </c>
    </row>
    <row r="67" spans="1:5" x14ac:dyDescent="0.3">
      <c r="A67">
        <f t="shared" si="5"/>
        <v>0.307</v>
      </c>
      <c r="B67">
        <f>(311+303)/2</f>
        <v>307</v>
      </c>
      <c r="C67">
        <v>4.47</v>
      </c>
      <c r="D67">
        <f t="shared" si="6"/>
        <v>14.560260586319218</v>
      </c>
      <c r="E67">
        <f>AVERAGE(D67:D71)</f>
        <v>14.595415146155551</v>
      </c>
    </row>
    <row r="68" spans="1:5" x14ac:dyDescent="0.3">
      <c r="A68">
        <f t="shared" si="5"/>
        <v>0.34200000000000003</v>
      </c>
      <c r="B68">
        <v>342</v>
      </c>
      <c r="C68">
        <v>4.97</v>
      </c>
      <c r="D68">
        <f t="shared" si="6"/>
        <v>14.532163742690056</v>
      </c>
    </row>
    <row r="69" spans="1:5" x14ac:dyDescent="0.3">
      <c r="A69">
        <f t="shared" si="5"/>
        <v>0.34799999999999998</v>
      </c>
      <c r="B69">
        <v>348</v>
      </c>
      <c r="C69">
        <v>5.08</v>
      </c>
      <c r="D69">
        <f t="shared" si="6"/>
        <v>14.597701149425289</v>
      </c>
    </row>
    <row r="70" spans="1:5" x14ac:dyDescent="0.3">
      <c r="A70">
        <f t="shared" si="5"/>
        <v>0.36499999999999999</v>
      </c>
      <c r="B70">
        <v>365</v>
      </c>
      <c r="C70">
        <v>5.33</v>
      </c>
      <c r="D70">
        <f t="shared" si="6"/>
        <v>14.602739726027398</v>
      </c>
    </row>
    <row r="71" spans="1:5" x14ac:dyDescent="0.3">
      <c r="A71">
        <f t="shared" si="5"/>
        <v>0.38</v>
      </c>
      <c r="B71">
        <v>380</v>
      </c>
      <c r="C71">
        <v>5.58</v>
      </c>
      <c r="D71">
        <f t="shared" si="6"/>
        <v>14.684210526315789</v>
      </c>
    </row>
    <row r="72" spans="1:5" x14ac:dyDescent="0.3">
      <c r="A72">
        <f t="shared" si="5"/>
        <v>0.41</v>
      </c>
      <c r="B72">
        <v>410</v>
      </c>
      <c r="C72">
        <v>5.93</v>
      </c>
      <c r="D72">
        <f t="shared" si="6"/>
        <v>14.463414634146341</v>
      </c>
      <c r="E72">
        <f>AVERAGE(D72:D76)</f>
        <v>14.5869802816436</v>
      </c>
    </row>
    <row r="73" spans="1:5" x14ac:dyDescent="0.3">
      <c r="A73">
        <f t="shared" si="5"/>
        <v>0.435</v>
      </c>
      <c r="B73">
        <v>435</v>
      </c>
      <c r="C73">
        <v>6.39</v>
      </c>
      <c r="D73">
        <f t="shared" si="6"/>
        <v>14.689655172413792</v>
      </c>
    </row>
    <row r="74" spans="1:5" x14ac:dyDescent="0.3">
      <c r="A74">
        <f t="shared" si="5"/>
        <v>0.45</v>
      </c>
      <c r="B74">
        <v>450</v>
      </c>
      <c r="C74">
        <v>6.53</v>
      </c>
      <c r="D74">
        <f t="shared" si="6"/>
        <v>14.511111111111111</v>
      </c>
    </row>
    <row r="75" spans="1:5" x14ac:dyDescent="0.3">
      <c r="A75">
        <f t="shared" si="5"/>
        <v>0.47499999999999998</v>
      </c>
      <c r="B75">
        <v>475</v>
      </c>
      <c r="C75">
        <v>6.94</v>
      </c>
      <c r="D75">
        <f t="shared" si="6"/>
        <v>14.610526315789475</v>
      </c>
    </row>
    <row r="76" spans="1:5" x14ac:dyDescent="0.3">
      <c r="A76">
        <f>B76/1000</f>
        <v>0.51500000000000001</v>
      </c>
      <c r="B76">
        <v>515</v>
      </c>
      <c r="C76">
        <v>7.55</v>
      </c>
      <c r="D76">
        <f t="shared" si="6"/>
        <v>14.660194174757281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91"/>
  <sheetViews>
    <sheetView topLeftCell="E1" zoomScale="150" zoomScaleNormal="150" workbookViewId="0">
      <selection activeCell="L1" sqref="L1:L1048576"/>
    </sheetView>
  </sheetViews>
  <sheetFormatPr defaultRowHeight="14.4" x14ac:dyDescent="0.3"/>
  <cols>
    <col min="3" max="3" width="31.109375" bestFit="1" customWidth="1"/>
  </cols>
  <sheetData>
    <row r="1" spans="1:19" x14ac:dyDescent="0.3">
      <c r="A1" t="s">
        <v>8</v>
      </c>
      <c r="B1" t="s">
        <v>9</v>
      </c>
      <c r="C1" t="s">
        <v>21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20</v>
      </c>
      <c r="L1" t="s">
        <v>22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20</v>
      </c>
    </row>
    <row r="2" spans="1:19" x14ac:dyDescent="0.3">
      <c r="A2" t="s">
        <v>18</v>
      </c>
      <c r="B2" s="6">
        <v>0.81406358796296296</v>
      </c>
      <c r="C2">
        <v>4.3099999999999996</v>
      </c>
      <c r="D2">
        <v>5.9</v>
      </c>
      <c r="E2">
        <v>0.04</v>
      </c>
      <c r="F2">
        <v>0.14000000000000001</v>
      </c>
      <c r="G2">
        <v>0.08</v>
      </c>
      <c r="H2">
        <v>0.18</v>
      </c>
      <c r="I2">
        <v>59.984999999999999</v>
      </c>
      <c r="J2">
        <v>0.1724</v>
      </c>
      <c r="L2">
        <v>4.96</v>
      </c>
      <c r="M2">
        <v>7.8</v>
      </c>
      <c r="N2">
        <v>0.04</v>
      </c>
      <c r="O2">
        <v>0.15</v>
      </c>
      <c r="P2">
        <v>0.08</v>
      </c>
      <c r="Q2">
        <v>0.18</v>
      </c>
      <c r="R2">
        <v>60.011000000000003</v>
      </c>
      <c r="S2">
        <v>0.19839999999999999</v>
      </c>
    </row>
    <row r="3" spans="1:19" x14ac:dyDescent="0.3">
      <c r="A3" t="s">
        <v>18</v>
      </c>
      <c r="B3" s="6">
        <v>0.814075162037037</v>
      </c>
      <c r="C3">
        <v>4.3099999999999996</v>
      </c>
      <c r="D3">
        <v>5.9</v>
      </c>
      <c r="E3">
        <v>0.04</v>
      </c>
      <c r="F3">
        <v>0.14000000000000001</v>
      </c>
      <c r="G3">
        <v>0.08</v>
      </c>
      <c r="H3">
        <v>0.18</v>
      </c>
      <c r="I3">
        <v>59.984999999999999</v>
      </c>
      <c r="J3">
        <v>0.1724</v>
      </c>
      <c r="L3">
        <v>4.75</v>
      </c>
      <c r="M3">
        <v>7.6</v>
      </c>
      <c r="N3">
        <v>0.04</v>
      </c>
      <c r="O3">
        <v>0.14000000000000001</v>
      </c>
      <c r="P3">
        <v>0.08</v>
      </c>
      <c r="Q3">
        <v>0.18</v>
      </c>
      <c r="R3">
        <v>60.012</v>
      </c>
      <c r="S3">
        <v>0.19</v>
      </c>
    </row>
    <row r="4" spans="1:19" x14ac:dyDescent="0.3">
      <c r="A4" t="s">
        <v>18</v>
      </c>
      <c r="B4" s="6">
        <v>0.81408673611111115</v>
      </c>
      <c r="C4">
        <v>4.51</v>
      </c>
      <c r="D4">
        <v>6.2</v>
      </c>
      <c r="E4">
        <v>0.04</v>
      </c>
      <c r="F4">
        <v>0.14000000000000001</v>
      </c>
      <c r="G4">
        <v>0.08</v>
      </c>
      <c r="H4">
        <v>0.18</v>
      </c>
      <c r="I4">
        <v>59.985999999999997</v>
      </c>
      <c r="J4">
        <v>0.1804</v>
      </c>
      <c r="L4">
        <v>5.04</v>
      </c>
      <c r="M4">
        <v>7.9</v>
      </c>
      <c r="N4">
        <v>0.04</v>
      </c>
      <c r="O4">
        <v>0.14000000000000001</v>
      </c>
      <c r="P4">
        <v>0.08</v>
      </c>
      <c r="Q4">
        <v>0.18</v>
      </c>
      <c r="R4">
        <v>60.01</v>
      </c>
      <c r="S4">
        <v>0.2016</v>
      </c>
    </row>
    <row r="5" spans="1:19" x14ac:dyDescent="0.3">
      <c r="A5" t="s">
        <v>18</v>
      </c>
      <c r="B5" s="6">
        <v>0.81409831018518519</v>
      </c>
      <c r="C5">
        <v>4.78</v>
      </c>
      <c r="D5">
        <v>6.6</v>
      </c>
      <c r="E5">
        <v>0.04</v>
      </c>
      <c r="F5">
        <v>0.14000000000000001</v>
      </c>
      <c r="G5">
        <v>0.08</v>
      </c>
      <c r="H5">
        <v>0.18</v>
      </c>
      <c r="I5">
        <v>59.985999999999997</v>
      </c>
      <c r="J5">
        <v>0.19120000000000001</v>
      </c>
      <c r="L5">
        <v>4.78</v>
      </c>
      <c r="M5">
        <v>7.7</v>
      </c>
      <c r="N5">
        <v>0.04</v>
      </c>
      <c r="O5">
        <v>0.14000000000000001</v>
      </c>
      <c r="P5">
        <v>0.08</v>
      </c>
      <c r="Q5">
        <v>0.18</v>
      </c>
      <c r="R5">
        <v>60.011000000000003</v>
      </c>
      <c r="S5">
        <v>0.19120000000000001</v>
      </c>
    </row>
    <row r="6" spans="1:19" x14ac:dyDescent="0.3">
      <c r="A6" t="s">
        <v>18</v>
      </c>
      <c r="B6" s="6">
        <v>0.81410988425925923</v>
      </c>
      <c r="C6">
        <v>4.78</v>
      </c>
      <c r="D6">
        <v>6.6</v>
      </c>
      <c r="E6">
        <v>0.04</v>
      </c>
      <c r="F6">
        <v>0.14000000000000001</v>
      </c>
      <c r="G6">
        <v>0.08</v>
      </c>
      <c r="H6">
        <v>0.18</v>
      </c>
      <c r="I6">
        <v>59.987000000000002</v>
      </c>
      <c r="J6">
        <v>0.19120000000000001</v>
      </c>
      <c r="L6">
        <v>4.8899999999999997</v>
      </c>
      <c r="M6">
        <v>7.8</v>
      </c>
      <c r="N6">
        <v>0.04</v>
      </c>
      <c r="O6">
        <v>0.14000000000000001</v>
      </c>
      <c r="P6">
        <v>0.08</v>
      </c>
      <c r="Q6">
        <v>0.18</v>
      </c>
      <c r="R6">
        <v>60.011000000000003</v>
      </c>
      <c r="S6">
        <v>0.1956</v>
      </c>
    </row>
    <row r="7" spans="1:19" x14ac:dyDescent="0.3">
      <c r="A7" t="s">
        <v>18</v>
      </c>
      <c r="B7" s="6">
        <v>0.81412145833333338</v>
      </c>
      <c r="C7">
        <v>4.78</v>
      </c>
      <c r="D7">
        <v>6.6</v>
      </c>
      <c r="E7">
        <v>0.04</v>
      </c>
      <c r="F7">
        <v>0.14000000000000001</v>
      </c>
      <c r="G7">
        <v>0.08</v>
      </c>
      <c r="H7">
        <v>0.18</v>
      </c>
      <c r="I7">
        <v>59.988</v>
      </c>
      <c r="J7">
        <v>0.19120000000000001</v>
      </c>
      <c r="L7">
        <v>4.95</v>
      </c>
      <c r="M7">
        <v>7.8</v>
      </c>
      <c r="N7">
        <v>0.04</v>
      </c>
      <c r="O7">
        <v>0.14000000000000001</v>
      </c>
      <c r="P7">
        <v>0.08</v>
      </c>
      <c r="Q7">
        <v>0.18</v>
      </c>
      <c r="R7">
        <v>60.011000000000003</v>
      </c>
      <c r="S7">
        <v>0.19800000000000001</v>
      </c>
    </row>
    <row r="8" spans="1:19" x14ac:dyDescent="0.3">
      <c r="A8" t="s">
        <v>18</v>
      </c>
      <c r="B8" s="6">
        <v>0.81413303240740742</v>
      </c>
      <c r="C8">
        <v>4.78</v>
      </c>
      <c r="D8">
        <v>6.6</v>
      </c>
      <c r="E8">
        <v>0.04</v>
      </c>
      <c r="F8">
        <v>0.14000000000000001</v>
      </c>
      <c r="G8">
        <v>0.08</v>
      </c>
      <c r="H8">
        <v>0.18</v>
      </c>
      <c r="I8">
        <v>59.988999999999997</v>
      </c>
      <c r="J8">
        <v>0.19120000000000001</v>
      </c>
      <c r="L8">
        <v>4.75</v>
      </c>
      <c r="M8">
        <v>7.6</v>
      </c>
      <c r="N8">
        <v>0.04</v>
      </c>
      <c r="O8">
        <v>0.14000000000000001</v>
      </c>
      <c r="P8">
        <v>0.08</v>
      </c>
      <c r="Q8">
        <v>0.18</v>
      </c>
      <c r="R8">
        <v>60.012</v>
      </c>
      <c r="S8">
        <v>0.19</v>
      </c>
    </row>
    <row r="9" spans="1:19" x14ac:dyDescent="0.3">
      <c r="A9" t="s">
        <v>18</v>
      </c>
      <c r="B9" s="6">
        <v>0.81414460648148146</v>
      </c>
      <c r="C9">
        <v>4.97</v>
      </c>
      <c r="D9">
        <v>6.9</v>
      </c>
      <c r="E9">
        <v>0.04</v>
      </c>
      <c r="F9">
        <v>0.14000000000000001</v>
      </c>
      <c r="G9">
        <v>0.08</v>
      </c>
      <c r="H9">
        <v>0.18</v>
      </c>
      <c r="I9">
        <v>59.99</v>
      </c>
      <c r="J9">
        <v>0.1988</v>
      </c>
      <c r="L9">
        <v>5.04</v>
      </c>
      <c r="M9">
        <v>7.9</v>
      </c>
      <c r="N9">
        <v>0.04</v>
      </c>
      <c r="O9">
        <v>0.14000000000000001</v>
      </c>
      <c r="P9">
        <v>0.08</v>
      </c>
      <c r="Q9">
        <v>0.18</v>
      </c>
      <c r="R9">
        <v>60.011000000000003</v>
      </c>
      <c r="S9">
        <v>0.2016</v>
      </c>
    </row>
    <row r="10" spans="1:19" x14ac:dyDescent="0.3">
      <c r="A10" t="s">
        <v>18</v>
      </c>
      <c r="B10" s="6">
        <v>0.81415618055555561</v>
      </c>
      <c r="C10">
        <v>5.26</v>
      </c>
      <c r="D10">
        <v>7.3</v>
      </c>
      <c r="E10">
        <v>0.04</v>
      </c>
      <c r="F10">
        <v>0.14000000000000001</v>
      </c>
      <c r="G10">
        <v>0.08</v>
      </c>
      <c r="H10">
        <v>0.18</v>
      </c>
      <c r="I10">
        <v>59.991</v>
      </c>
      <c r="J10">
        <v>0.2104</v>
      </c>
      <c r="L10">
        <v>4.75</v>
      </c>
      <c r="M10">
        <v>7.7</v>
      </c>
      <c r="N10">
        <v>0.04</v>
      </c>
      <c r="O10">
        <v>0.14000000000000001</v>
      </c>
      <c r="P10">
        <v>0.08</v>
      </c>
      <c r="Q10">
        <v>0.18</v>
      </c>
      <c r="R10">
        <v>60.015999999999998</v>
      </c>
      <c r="S10">
        <v>0.19</v>
      </c>
    </row>
    <row r="11" spans="1:19" x14ac:dyDescent="0.3">
      <c r="A11" t="s">
        <v>18</v>
      </c>
      <c r="B11" s="6">
        <v>0.81416775462962965</v>
      </c>
      <c r="C11">
        <v>5.26</v>
      </c>
      <c r="D11">
        <v>7.3</v>
      </c>
      <c r="E11">
        <v>0.04</v>
      </c>
      <c r="F11">
        <v>0.14000000000000001</v>
      </c>
      <c r="G11">
        <v>0.08</v>
      </c>
      <c r="H11">
        <v>0.18</v>
      </c>
      <c r="I11">
        <v>59.991</v>
      </c>
      <c r="J11">
        <v>0.2104</v>
      </c>
      <c r="L11">
        <v>5.07</v>
      </c>
      <c r="M11">
        <v>8</v>
      </c>
      <c r="N11">
        <v>0.04</v>
      </c>
      <c r="O11">
        <v>0.15</v>
      </c>
      <c r="P11">
        <v>0.08</v>
      </c>
      <c r="Q11">
        <v>0.18</v>
      </c>
      <c r="R11">
        <v>60.014000000000003</v>
      </c>
      <c r="S11">
        <v>0.20280000000000001</v>
      </c>
    </row>
    <row r="12" spans="1:19" x14ac:dyDescent="0.3">
      <c r="A12" t="s">
        <v>18</v>
      </c>
      <c r="B12" s="6">
        <v>0.81417932870370369</v>
      </c>
      <c r="C12">
        <v>5.26</v>
      </c>
      <c r="D12">
        <v>7.3</v>
      </c>
      <c r="E12">
        <v>0.04</v>
      </c>
      <c r="F12">
        <v>0.14000000000000001</v>
      </c>
      <c r="G12">
        <v>0.08</v>
      </c>
      <c r="H12">
        <v>0.18</v>
      </c>
      <c r="I12">
        <v>59.991999999999997</v>
      </c>
      <c r="J12">
        <v>0.2104</v>
      </c>
      <c r="L12">
        <v>4.83</v>
      </c>
      <c r="M12">
        <v>7.7</v>
      </c>
      <c r="N12">
        <v>0.04</v>
      </c>
      <c r="O12">
        <v>0.14000000000000001</v>
      </c>
      <c r="P12">
        <v>0.08</v>
      </c>
      <c r="Q12">
        <v>0.18</v>
      </c>
      <c r="R12">
        <v>60.015999999999998</v>
      </c>
      <c r="S12">
        <v>0.19320000000000001</v>
      </c>
    </row>
    <row r="13" spans="1:19" x14ac:dyDescent="0.3">
      <c r="A13" t="s">
        <v>18</v>
      </c>
      <c r="B13" s="6">
        <v>0.81419090277777773</v>
      </c>
      <c r="C13">
        <v>5.26</v>
      </c>
      <c r="D13">
        <v>7.3</v>
      </c>
      <c r="E13">
        <v>0.04</v>
      </c>
      <c r="F13">
        <v>0.14000000000000001</v>
      </c>
      <c r="G13">
        <v>0.1</v>
      </c>
      <c r="H13">
        <v>0.18</v>
      </c>
      <c r="I13">
        <v>59.993000000000002</v>
      </c>
      <c r="J13">
        <v>0.2104</v>
      </c>
      <c r="L13">
        <v>4.8099999999999996</v>
      </c>
      <c r="M13">
        <v>7.6</v>
      </c>
      <c r="N13">
        <v>0.04</v>
      </c>
      <c r="O13">
        <v>0.14000000000000001</v>
      </c>
      <c r="P13">
        <v>0.08</v>
      </c>
      <c r="Q13">
        <v>0.18</v>
      </c>
      <c r="R13">
        <v>60.014000000000003</v>
      </c>
      <c r="S13">
        <v>0.19239999999999999</v>
      </c>
    </row>
    <row r="14" spans="1:19" x14ac:dyDescent="0.3">
      <c r="A14" t="s">
        <v>18</v>
      </c>
      <c r="B14" s="6">
        <v>0.81420247685185188</v>
      </c>
      <c r="C14">
        <v>5.3</v>
      </c>
      <c r="D14">
        <v>7.4</v>
      </c>
      <c r="E14">
        <v>0.04</v>
      </c>
      <c r="F14">
        <v>0.14000000000000001</v>
      </c>
      <c r="G14">
        <v>0.08</v>
      </c>
      <c r="H14">
        <v>0.18</v>
      </c>
      <c r="I14">
        <v>59.993000000000002</v>
      </c>
      <c r="J14">
        <v>0.21199999999999999</v>
      </c>
      <c r="L14">
        <v>5.05</v>
      </c>
      <c r="M14">
        <v>8</v>
      </c>
      <c r="N14">
        <v>0.04</v>
      </c>
      <c r="O14">
        <v>0.15</v>
      </c>
      <c r="P14">
        <v>0.08</v>
      </c>
      <c r="Q14">
        <v>0.18</v>
      </c>
      <c r="R14">
        <v>60.015999999999998</v>
      </c>
      <c r="S14">
        <v>0.20199999999999999</v>
      </c>
    </row>
    <row r="15" spans="1:19" x14ac:dyDescent="0.3">
      <c r="A15" t="s">
        <v>18</v>
      </c>
      <c r="B15" s="6">
        <v>0.81421405092592591</v>
      </c>
      <c r="C15">
        <v>5.37</v>
      </c>
      <c r="D15">
        <v>7.5</v>
      </c>
      <c r="E15">
        <v>0.04</v>
      </c>
      <c r="F15">
        <v>0.14000000000000001</v>
      </c>
      <c r="G15">
        <v>0.08</v>
      </c>
      <c r="H15">
        <v>0.18</v>
      </c>
      <c r="I15">
        <v>59.993000000000002</v>
      </c>
      <c r="J15">
        <v>0.21480000000000002</v>
      </c>
      <c r="L15">
        <v>4.72</v>
      </c>
      <c r="M15">
        <v>7.6</v>
      </c>
      <c r="N15">
        <v>0.04</v>
      </c>
      <c r="O15">
        <v>0.15</v>
      </c>
      <c r="P15">
        <v>0.08</v>
      </c>
      <c r="Q15">
        <v>0.18</v>
      </c>
      <c r="R15">
        <v>60.015000000000001</v>
      </c>
      <c r="S15">
        <v>0.1888</v>
      </c>
    </row>
    <row r="16" spans="1:19" x14ac:dyDescent="0.3">
      <c r="A16" t="s">
        <v>18</v>
      </c>
      <c r="B16" s="6">
        <v>0.81422562499999995</v>
      </c>
      <c r="C16">
        <v>5.37</v>
      </c>
      <c r="D16">
        <v>7.5</v>
      </c>
      <c r="E16">
        <v>0.04</v>
      </c>
      <c r="F16">
        <v>0.14000000000000001</v>
      </c>
      <c r="G16">
        <v>0.08</v>
      </c>
      <c r="H16">
        <v>0.18</v>
      </c>
      <c r="I16">
        <v>59.993000000000002</v>
      </c>
      <c r="J16">
        <v>0.21480000000000002</v>
      </c>
      <c r="L16">
        <v>5.09</v>
      </c>
      <c r="M16">
        <v>7.9</v>
      </c>
      <c r="N16">
        <v>0.04</v>
      </c>
      <c r="O16">
        <v>0.15</v>
      </c>
      <c r="P16">
        <v>0.08</v>
      </c>
      <c r="Q16">
        <v>0.18</v>
      </c>
      <c r="R16">
        <v>60.015000000000001</v>
      </c>
      <c r="S16">
        <v>0.2036</v>
      </c>
    </row>
    <row r="17" spans="1:19" x14ac:dyDescent="0.3">
      <c r="A17" t="s">
        <v>18</v>
      </c>
      <c r="B17" s="6">
        <v>0.8142371990740741</v>
      </c>
      <c r="C17">
        <v>5.37</v>
      </c>
      <c r="D17">
        <v>7.5</v>
      </c>
      <c r="E17">
        <v>0.04</v>
      </c>
      <c r="F17">
        <v>0.14000000000000001</v>
      </c>
      <c r="G17">
        <v>0.08</v>
      </c>
      <c r="H17">
        <v>0.18</v>
      </c>
      <c r="I17">
        <v>59.993000000000002</v>
      </c>
      <c r="J17">
        <v>0.21480000000000002</v>
      </c>
      <c r="L17">
        <v>4.76</v>
      </c>
      <c r="M17">
        <v>7.7</v>
      </c>
      <c r="N17">
        <v>0.04</v>
      </c>
      <c r="O17">
        <v>0.15</v>
      </c>
      <c r="P17">
        <v>0.08</v>
      </c>
      <c r="Q17">
        <v>0.18</v>
      </c>
      <c r="R17">
        <v>60.015999999999998</v>
      </c>
      <c r="S17">
        <v>0.19039999999999999</v>
      </c>
    </row>
    <row r="18" spans="1:19" x14ac:dyDescent="0.3">
      <c r="A18" t="s">
        <v>18</v>
      </c>
      <c r="B18" s="6">
        <v>0.81424877314814814</v>
      </c>
      <c r="C18">
        <v>5.37</v>
      </c>
      <c r="D18">
        <v>7.5</v>
      </c>
      <c r="E18">
        <v>0.04</v>
      </c>
      <c r="F18">
        <v>0.14000000000000001</v>
      </c>
      <c r="G18">
        <v>0.08</v>
      </c>
      <c r="H18">
        <v>0.18</v>
      </c>
      <c r="I18">
        <v>59.993000000000002</v>
      </c>
      <c r="J18">
        <v>0.21480000000000002</v>
      </c>
      <c r="L18">
        <v>5</v>
      </c>
      <c r="M18">
        <v>7.9</v>
      </c>
      <c r="N18">
        <v>0.04</v>
      </c>
      <c r="O18">
        <v>0.14000000000000001</v>
      </c>
      <c r="P18">
        <v>0.08</v>
      </c>
      <c r="Q18">
        <v>0.18</v>
      </c>
      <c r="R18">
        <v>60.014000000000003</v>
      </c>
      <c r="S18">
        <v>0.2</v>
      </c>
    </row>
    <row r="19" spans="1:19" x14ac:dyDescent="0.3">
      <c r="A19" t="s">
        <v>18</v>
      </c>
      <c r="B19" s="6">
        <v>0.81426034722222218</v>
      </c>
      <c r="C19">
        <v>5.39</v>
      </c>
      <c r="D19">
        <v>7.5</v>
      </c>
      <c r="E19">
        <v>0.04</v>
      </c>
      <c r="F19">
        <v>0.14000000000000001</v>
      </c>
      <c r="G19">
        <v>0.08</v>
      </c>
      <c r="H19">
        <v>0.18</v>
      </c>
      <c r="I19">
        <v>59.993000000000002</v>
      </c>
      <c r="J19">
        <v>0.21559999999999999</v>
      </c>
      <c r="L19">
        <v>4.84</v>
      </c>
      <c r="M19">
        <v>7.7</v>
      </c>
      <c r="N19">
        <v>0.04</v>
      </c>
      <c r="O19">
        <v>0.14000000000000001</v>
      </c>
      <c r="P19">
        <v>0.08</v>
      </c>
      <c r="Q19">
        <v>0.18</v>
      </c>
      <c r="R19">
        <v>60.015000000000001</v>
      </c>
      <c r="S19">
        <v>0.19359999999999999</v>
      </c>
    </row>
    <row r="20" spans="1:19" x14ac:dyDescent="0.3">
      <c r="A20" t="s">
        <v>18</v>
      </c>
      <c r="B20" s="6">
        <v>0.81427192129629633</v>
      </c>
      <c r="C20">
        <v>5.43</v>
      </c>
      <c r="D20">
        <v>7.6</v>
      </c>
      <c r="E20">
        <v>0.04</v>
      </c>
      <c r="F20">
        <v>0.14000000000000001</v>
      </c>
      <c r="G20">
        <v>0.1</v>
      </c>
      <c r="H20">
        <v>0.18</v>
      </c>
      <c r="I20">
        <v>59.993000000000002</v>
      </c>
      <c r="J20">
        <v>0.2172</v>
      </c>
      <c r="L20">
        <v>4.8</v>
      </c>
      <c r="M20">
        <v>7.6</v>
      </c>
      <c r="N20">
        <v>0.04</v>
      </c>
      <c r="O20">
        <v>0.15</v>
      </c>
      <c r="P20">
        <v>0.08</v>
      </c>
      <c r="Q20">
        <v>0.18</v>
      </c>
      <c r="R20">
        <v>60.014000000000003</v>
      </c>
      <c r="S20">
        <v>0.192</v>
      </c>
    </row>
    <row r="21" spans="1:19" x14ac:dyDescent="0.3">
      <c r="A21" t="s">
        <v>18</v>
      </c>
      <c r="B21" s="6">
        <v>0.81428349537037037</v>
      </c>
      <c r="C21">
        <v>5.43</v>
      </c>
      <c r="D21">
        <v>7.6</v>
      </c>
      <c r="E21">
        <v>0.04</v>
      </c>
      <c r="F21">
        <v>0.14000000000000001</v>
      </c>
      <c r="G21">
        <v>0.08</v>
      </c>
      <c r="H21">
        <v>0.18</v>
      </c>
      <c r="I21">
        <v>59.994</v>
      </c>
      <c r="J21">
        <v>0.2172</v>
      </c>
      <c r="L21">
        <v>4.99</v>
      </c>
      <c r="M21">
        <v>7.9</v>
      </c>
      <c r="N21">
        <v>0.04</v>
      </c>
      <c r="O21">
        <v>0.14000000000000001</v>
      </c>
      <c r="P21">
        <v>0.08</v>
      </c>
      <c r="Q21">
        <v>0.18</v>
      </c>
      <c r="R21">
        <v>60.014000000000003</v>
      </c>
      <c r="S21">
        <v>0.1996</v>
      </c>
    </row>
    <row r="22" spans="1:19" x14ac:dyDescent="0.3">
      <c r="A22" t="s">
        <v>18</v>
      </c>
      <c r="B22" s="6">
        <v>0.81429506944444441</v>
      </c>
      <c r="C22">
        <v>5.43</v>
      </c>
      <c r="D22">
        <v>7.6</v>
      </c>
      <c r="E22">
        <v>0.04</v>
      </c>
      <c r="F22">
        <v>0.14000000000000001</v>
      </c>
      <c r="G22">
        <v>0.08</v>
      </c>
      <c r="H22">
        <v>0.18</v>
      </c>
      <c r="I22">
        <v>59.994</v>
      </c>
      <c r="J22">
        <v>0.2172</v>
      </c>
      <c r="L22">
        <v>4.74</v>
      </c>
      <c r="M22">
        <v>7.6</v>
      </c>
      <c r="N22">
        <v>0.04</v>
      </c>
      <c r="O22">
        <v>0.14000000000000001</v>
      </c>
      <c r="P22">
        <v>0.08</v>
      </c>
      <c r="Q22">
        <v>0.18</v>
      </c>
      <c r="R22">
        <v>60.014000000000003</v>
      </c>
      <c r="S22">
        <v>0.18960000000000002</v>
      </c>
    </row>
    <row r="23" spans="1:19" x14ac:dyDescent="0.3">
      <c r="A23" t="s">
        <v>18</v>
      </c>
      <c r="B23" s="6">
        <v>0.81430664351851856</v>
      </c>
      <c r="C23">
        <v>5.43</v>
      </c>
      <c r="D23">
        <v>7.6</v>
      </c>
      <c r="E23">
        <v>0.04</v>
      </c>
      <c r="F23">
        <v>0.14000000000000001</v>
      </c>
      <c r="G23">
        <v>0.08</v>
      </c>
      <c r="H23">
        <v>0.18</v>
      </c>
      <c r="I23">
        <v>59.994</v>
      </c>
      <c r="J23">
        <v>0.2172</v>
      </c>
      <c r="L23">
        <v>5.1100000000000003</v>
      </c>
      <c r="M23">
        <v>8</v>
      </c>
      <c r="N23">
        <v>0.04</v>
      </c>
      <c r="O23">
        <v>0.15</v>
      </c>
      <c r="P23">
        <v>0.08</v>
      </c>
      <c r="Q23">
        <v>0.18</v>
      </c>
      <c r="R23">
        <v>60.012999999999998</v>
      </c>
      <c r="S23">
        <v>0.20440000000000003</v>
      </c>
    </row>
    <row r="24" spans="1:19" x14ac:dyDescent="0.3">
      <c r="A24" t="s">
        <v>18</v>
      </c>
      <c r="B24" s="6">
        <v>0.8143182175925926</v>
      </c>
      <c r="C24">
        <v>5.44</v>
      </c>
      <c r="D24">
        <v>7.6</v>
      </c>
      <c r="E24">
        <v>0.04</v>
      </c>
      <c r="F24">
        <v>0.14000000000000001</v>
      </c>
      <c r="G24">
        <v>0.08</v>
      </c>
      <c r="H24">
        <v>0.18</v>
      </c>
      <c r="I24">
        <v>59.994</v>
      </c>
      <c r="J24">
        <v>0.21760000000000002</v>
      </c>
      <c r="L24">
        <v>4.74</v>
      </c>
      <c r="M24">
        <v>7.6</v>
      </c>
      <c r="N24">
        <v>0.04</v>
      </c>
      <c r="O24">
        <v>0.15</v>
      </c>
      <c r="P24">
        <v>0.08</v>
      </c>
      <c r="Q24">
        <v>0.18</v>
      </c>
      <c r="R24">
        <v>60.015000000000001</v>
      </c>
      <c r="S24">
        <v>0.18960000000000002</v>
      </c>
    </row>
    <row r="25" spans="1:19" x14ac:dyDescent="0.3">
      <c r="A25" t="s">
        <v>18</v>
      </c>
      <c r="B25" s="6">
        <v>0.81432979166666664</v>
      </c>
      <c r="C25">
        <v>5.47</v>
      </c>
      <c r="D25">
        <v>7.7</v>
      </c>
      <c r="E25">
        <v>0.04</v>
      </c>
      <c r="F25">
        <v>0.14000000000000001</v>
      </c>
      <c r="G25">
        <v>0.08</v>
      </c>
      <c r="H25">
        <v>0.18</v>
      </c>
      <c r="I25">
        <v>59.993000000000002</v>
      </c>
      <c r="J25">
        <v>0.21879999999999999</v>
      </c>
      <c r="L25">
        <v>4.97</v>
      </c>
      <c r="M25">
        <v>7.8</v>
      </c>
      <c r="N25">
        <v>0.04</v>
      </c>
      <c r="O25">
        <v>0.15</v>
      </c>
      <c r="P25">
        <v>0.08</v>
      </c>
      <c r="Q25">
        <v>0.18</v>
      </c>
      <c r="R25">
        <v>60.012999999999998</v>
      </c>
      <c r="S25">
        <v>0.1988</v>
      </c>
    </row>
    <row r="26" spans="1:19" x14ac:dyDescent="0.3">
      <c r="A26" t="s">
        <v>18</v>
      </c>
      <c r="B26" s="6">
        <v>0.81434136574074079</v>
      </c>
      <c r="C26">
        <v>5.47</v>
      </c>
      <c r="D26">
        <v>7.7</v>
      </c>
      <c r="E26">
        <v>0.04</v>
      </c>
      <c r="F26">
        <v>0.14000000000000001</v>
      </c>
      <c r="G26">
        <v>0.08</v>
      </c>
      <c r="H26">
        <v>0.18</v>
      </c>
      <c r="I26">
        <v>59.993000000000002</v>
      </c>
      <c r="J26">
        <v>0.21879999999999999</v>
      </c>
      <c r="L26">
        <v>4.92</v>
      </c>
      <c r="M26">
        <v>7.8</v>
      </c>
      <c r="N26">
        <v>0.04</v>
      </c>
      <c r="O26">
        <v>0.14000000000000001</v>
      </c>
      <c r="P26">
        <v>0.08</v>
      </c>
      <c r="Q26">
        <v>0.18</v>
      </c>
      <c r="R26">
        <v>60.015000000000001</v>
      </c>
      <c r="S26">
        <v>0.1968</v>
      </c>
    </row>
    <row r="27" spans="1:19" x14ac:dyDescent="0.3">
      <c r="A27" t="s">
        <v>18</v>
      </c>
      <c r="B27" s="6">
        <v>0.81435293981481482</v>
      </c>
      <c r="C27">
        <v>5.47</v>
      </c>
      <c r="D27">
        <v>7.7</v>
      </c>
      <c r="E27">
        <v>0.04</v>
      </c>
      <c r="F27">
        <v>0.14000000000000001</v>
      </c>
      <c r="G27">
        <v>0.08</v>
      </c>
      <c r="H27">
        <v>0.18</v>
      </c>
      <c r="I27">
        <v>59.993000000000002</v>
      </c>
      <c r="J27">
        <v>0.21879999999999999</v>
      </c>
      <c r="L27">
        <v>4.76</v>
      </c>
      <c r="M27">
        <v>7.6</v>
      </c>
      <c r="N27">
        <v>0.04</v>
      </c>
      <c r="O27">
        <v>0.14000000000000001</v>
      </c>
      <c r="P27">
        <v>0.08</v>
      </c>
      <c r="Q27">
        <v>0.18</v>
      </c>
      <c r="R27">
        <v>60.014000000000003</v>
      </c>
      <c r="S27">
        <v>0.19039999999999999</v>
      </c>
    </row>
    <row r="28" spans="1:19" x14ac:dyDescent="0.3">
      <c r="A28" t="s">
        <v>18</v>
      </c>
      <c r="B28" s="6">
        <v>0.81436451388888886</v>
      </c>
      <c r="C28">
        <v>5.47</v>
      </c>
      <c r="D28">
        <v>7.7</v>
      </c>
      <c r="E28">
        <v>0.04</v>
      </c>
      <c r="F28">
        <v>0.14000000000000001</v>
      </c>
      <c r="G28">
        <v>0.08</v>
      </c>
      <c r="H28">
        <v>0.18</v>
      </c>
      <c r="I28">
        <v>59.993000000000002</v>
      </c>
      <c r="J28">
        <v>0.21879999999999999</v>
      </c>
      <c r="L28">
        <v>5.09</v>
      </c>
      <c r="M28">
        <v>7.9</v>
      </c>
      <c r="N28">
        <v>0.04</v>
      </c>
      <c r="O28">
        <v>0.14000000000000001</v>
      </c>
      <c r="P28">
        <v>0.08</v>
      </c>
      <c r="Q28">
        <v>0.18</v>
      </c>
      <c r="R28">
        <v>60.014000000000003</v>
      </c>
      <c r="S28">
        <v>0.2036</v>
      </c>
    </row>
    <row r="29" spans="1:19" x14ac:dyDescent="0.3">
      <c r="A29" t="s">
        <v>18</v>
      </c>
      <c r="B29" s="6">
        <v>0.81437608796296301</v>
      </c>
      <c r="C29">
        <v>5.5</v>
      </c>
      <c r="D29">
        <v>7.7</v>
      </c>
      <c r="E29">
        <v>0.04</v>
      </c>
      <c r="F29">
        <v>0.14000000000000001</v>
      </c>
      <c r="G29">
        <v>0.08</v>
      </c>
      <c r="H29">
        <v>0.18</v>
      </c>
      <c r="I29">
        <v>59.993000000000002</v>
      </c>
      <c r="J29">
        <v>0.22</v>
      </c>
      <c r="L29">
        <v>4.72</v>
      </c>
      <c r="M29">
        <v>7.6</v>
      </c>
      <c r="N29">
        <v>0.04</v>
      </c>
      <c r="O29">
        <v>0.14000000000000001</v>
      </c>
      <c r="P29">
        <v>0.08</v>
      </c>
      <c r="Q29">
        <v>0.18</v>
      </c>
      <c r="R29">
        <v>60.015000000000001</v>
      </c>
      <c r="S29">
        <v>0.1888</v>
      </c>
    </row>
    <row r="30" spans="1:19" x14ac:dyDescent="0.3">
      <c r="A30" t="s">
        <v>18</v>
      </c>
      <c r="B30" s="6">
        <v>0.81438766203703705</v>
      </c>
      <c r="C30">
        <v>5.55</v>
      </c>
      <c r="D30">
        <v>7.8</v>
      </c>
      <c r="E30">
        <v>0.04</v>
      </c>
      <c r="F30">
        <v>0.14000000000000001</v>
      </c>
      <c r="G30">
        <v>0.08</v>
      </c>
      <c r="H30">
        <v>0.18</v>
      </c>
      <c r="I30">
        <v>59.991999999999997</v>
      </c>
      <c r="J30">
        <v>0.222</v>
      </c>
      <c r="L30">
        <v>5.08</v>
      </c>
      <c r="M30">
        <v>7.9</v>
      </c>
      <c r="N30">
        <v>0.04</v>
      </c>
      <c r="O30">
        <v>0.14000000000000001</v>
      </c>
      <c r="P30">
        <v>0.08</v>
      </c>
      <c r="Q30">
        <v>0.18</v>
      </c>
      <c r="R30">
        <v>60.012999999999998</v>
      </c>
      <c r="S30">
        <v>0.20320000000000002</v>
      </c>
    </row>
    <row r="31" spans="1:19" x14ac:dyDescent="0.3">
      <c r="A31" t="s">
        <v>18</v>
      </c>
      <c r="B31" s="6">
        <v>0.81439923611111109</v>
      </c>
      <c r="C31">
        <v>5.55</v>
      </c>
      <c r="D31">
        <v>7.8</v>
      </c>
      <c r="E31">
        <v>0.04</v>
      </c>
      <c r="F31">
        <v>0.14000000000000001</v>
      </c>
      <c r="G31">
        <v>0.08</v>
      </c>
      <c r="H31">
        <v>0.18</v>
      </c>
      <c r="I31">
        <v>59.991999999999997</v>
      </c>
      <c r="J31">
        <v>0.222</v>
      </c>
      <c r="L31">
        <v>4.76</v>
      </c>
      <c r="M31">
        <v>7.6</v>
      </c>
      <c r="N31">
        <v>0.04</v>
      </c>
      <c r="O31">
        <v>0.14000000000000001</v>
      </c>
      <c r="P31">
        <v>0.08</v>
      </c>
      <c r="Q31">
        <v>0.18</v>
      </c>
      <c r="R31">
        <v>60.015999999999998</v>
      </c>
      <c r="S31">
        <v>0.19039999999999999</v>
      </c>
    </row>
    <row r="32" spans="1:19" x14ac:dyDescent="0.3">
      <c r="A32" t="s">
        <v>18</v>
      </c>
      <c r="B32" s="6">
        <v>0.81441081018518513</v>
      </c>
      <c r="C32">
        <v>5.55</v>
      </c>
      <c r="D32">
        <v>7.8</v>
      </c>
      <c r="E32">
        <v>0.04</v>
      </c>
      <c r="F32">
        <v>0.14000000000000001</v>
      </c>
      <c r="G32">
        <v>0.08</v>
      </c>
      <c r="H32">
        <v>0.18</v>
      </c>
      <c r="I32">
        <v>59.991999999999997</v>
      </c>
      <c r="J32">
        <v>0.222</v>
      </c>
      <c r="L32">
        <v>4.87</v>
      </c>
      <c r="M32">
        <v>7.6</v>
      </c>
      <c r="N32">
        <v>0.04</v>
      </c>
      <c r="O32">
        <v>0.14000000000000001</v>
      </c>
      <c r="P32">
        <v>0.08</v>
      </c>
      <c r="Q32">
        <v>0.18</v>
      </c>
      <c r="R32">
        <v>60.014000000000003</v>
      </c>
      <c r="S32">
        <v>0.1948</v>
      </c>
    </row>
    <row r="33" spans="1:19" x14ac:dyDescent="0.3">
      <c r="A33" t="s">
        <v>18</v>
      </c>
      <c r="B33" s="6">
        <v>0.81442238425925928</v>
      </c>
      <c r="C33">
        <v>5.55</v>
      </c>
      <c r="D33">
        <v>7.8</v>
      </c>
      <c r="E33">
        <v>0.04</v>
      </c>
      <c r="F33">
        <v>0.14000000000000001</v>
      </c>
      <c r="G33">
        <v>0.08</v>
      </c>
      <c r="H33">
        <v>0.18</v>
      </c>
      <c r="I33">
        <v>59.991999999999997</v>
      </c>
      <c r="J33">
        <v>0.222</v>
      </c>
      <c r="L33">
        <v>4.93</v>
      </c>
      <c r="M33">
        <v>7.7</v>
      </c>
      <c r="N33">
        <v>0.04</v>
      </c>
      <c r="O33">
        <v>0.14000000000000001</v>
      </c>
      <c r="P33">
        <v>0.08</v>
      </c>
      <c r="Q33">
        <v>0.18</v>
      </c>
      <c r="R33">
        <v>60.015000000000001</v>
      </c>
      <c r="S33">
        <v>0.19719999999999999</v>
      </c>
    </row>
    <row r="34" spans="1:19" x14ac:dyDescent="0.3">
      <c r="A34" t="s">
        <v>18</v>
      </c>
      <c r="B34" s="6">
        <v>0.81443395833333332</v>
      </c>
      <c r="C34">
        <v>5.57</v>
      </c>
      <c r="D34">
        <v>7.8</v>
      </c>
      <c r="E34">
        <v>0.04</v>
      </c>
      <c r="F34">
        <v>0.14000000000000001</v>
      </c>
      <c r="G34">
        <v>0.08</v>
      </c>
      <c r="H34">
        <v>0.18</v>
      </c>
      <c r="I34">
        <v>59.991</v>
      </c>
      <c r="J34">
        <v>0.22280000000000003</v>
      </c>
      <c r="L34">
        <v>4.7300000000000004</v>
      </c>
      <c r="M34">
        <v>7.5</v>
      </c>
      <c r="N34">
        <v>0.04</v>
      </c>
      <c r="O34">
        <v>0.14000000000000001</v>
      </c>
      <c r="P34">
        <v>0.08</v>
      </c>
      <c r="Q34">
        <v>0.18</v>
      </c>
      <c r="R34">
        <v>60.012999999999998</v>
      </c>
      <c r="S34">
        <v>0.18920000000000003</v>
      </c>
    </row>
    <row r="35" spans="1:19" x14ac:dyDescent="0.3">
      <c r="A35" t="s">
        <v>18</v>
      </c>
      <c r="B35" s="6">
        <v>0.81444553240740736</v>
      </c>
      <c r="C35">
        <v>5.61</v>
      </c>
      <c r="D35">
        <v>7.8</v>
      </c>
      <c r="E35">
        <v>0.04</v>
      </c>
      <c r="F35">
        <v>0.14000000000000001</v>
      </c>
      <c r="G35">
        <v>0.08</v>
      </c>
      <c r="H35">
        <v>0.18</v>
      </c>
      <c r="I35">
        <v>59.991</v>
      </c>
      <c r="J35">
        <v>0.22440000000000002</v>
      </c>
      <c r="L35">
        <v>5.05</v>
      </c>
      <c r="M35">
        <v>7.7</v>
      </c>
      <c r="N35">
        <v>0.04</v>
      </c>
      <c r="O35">
        <v>0.14000000000000001</v>
      </c>
      <c r="P35">
        <v>0.08</v>
      </c>
      <c r="Q35">
        <v>0.18</v>
      </c>
      <c r="R35">
        <v>60.012</v>
      </c>
      <c r="S35">
        <v>0.20199999999999999</v>
      </c>
    </row>
    <row r="36" spans="1:19" x14ac:dyDescent="0.3">
      <c r="A36" t="s">
        <v>18</v>
      </c>
      <c r="B36" s="6">
        <v>0.81445710648148151</v>
      </c>
      <c r="C36">
        <v>5.61</v>
      </c>
      <c r="D36">
        <v>7.8</v>
      </c>
      <c r="E36">
        <v>0.04</v>
      </c>
      <c r="F36">
        <v>0.14000000000000001</v>
      </c>
      <c r="G36">
        <v>0.08</v>
      </c>
      <c r="H36">
        <v>0.18</v>
      </c>
      <c r="I36">
        <v>59.991</v>
      </c>
      <c r="J36">
        <v>0.22440000000000002</v>
      </c>
      <c r="L36">
        <v>4.7699999999999996</v>
      </c>
      <c r="M36">
        <v>7.5</v>
      </c>
      <c r="N36">
        <v>0.04</v>
      </c>
      <c r="O36">
        <v>0.14000000000000001</v>
      </c>
      <c r="P36">
        <v>0.08</v>
      </c>
      <c r="Q36">
        <v>0.18</v>
      </c>
      <c r="R36">
        <v>60.014000000000003</v>
      </c>
      <c r="S36">
        <v>0.1908</v>
      </c>
    </row>
    <row r="37" spans="1:19" x14ac:dyDescent="0.3">
      <c r="A37" t="s">
        <v>18</v>
      </c>
      <c r="B37" s="6">
        <v>0.81446868055555555</v>
      </c>
      <c r="C37">
        <v>5.61</v>
      </c>
      <c r="D37">
        <v>7.8</v>
      </c>
      <c r="E37">
        <v>0.04</v>
      </c>
      <c r="F37">
        <v>0.14000000000000001</v>
      </c>
      <c r="G37">
        <v>0.08</v>
      </c>
      <c r="H37">
        <v>0.18</v>
      </c>
      <c r="I37">
        <v>59.991</v>
      </c>
      <c r="J37">
        <v>0.22440000000000002</v>
      </c>
      <c r="L37">
        <v>5.04</v>
      </c>
      <c r="M37">
        <v>7.7</v>
      </c>
      <c r="N37">
        <v>0.04</v>
      </c>
      <c r="O37">
        <v>0.14000000000000001</v>
      </c>
      <c r="P37">
        <v>0.08</v>
      </c>
      <c r="Q37">
        <v>0.18</v>
      </c>
      <c r="R37">
        <v>60.011000000000003</v>
      </c>
      <c r="S37">
        <v>0.2016</v>
      </c>
    </row>
    <row r="38" spans="1:19" x14ac:dyDescent="0.3">
      <c r="A38" t="s">
        <v>18</v>
      </c>
      <c r="B38" s="6">
        <v>0.81448025462962959</v>
      </c>
      <c r="C38">
        <v>5.61</v>
      </c>
      <c r="D38">
        <v>7.8</v>
      </c>
      <c r="E38">
        <v>0.04</v>
      </c>
      <c r="F38">
        <v>0.14000000000000001</v>
      </c>
      <c r="G38">
        <v>0.08</v>
      </c>
      <c r="H38">
        <v>0.18</v>
      </c>
      <c r="I38">
        <v>59.991</v>
      </c>
      <c r="J38">
        <v>0.22440000000000002</v>
      </c>
      <c r="L38">
        <v>4.78</v>
      </c>
      <c r="M38">
        <v>7.4</v>
      </c>
      <c r="N38">
        <v>0.04</v>
      </c>
      <c r="O38">
        <v>0.14000000000000001</v>
      </c>
      <c r="P38">
        <v>0.08</v>
      </c>
      <c r="Q38">
        <v>0.18</v>
      </c>
      <c r="R38">
        <v>60.014000000000003</v>
      </c>
      <c r="S38">
        <v>0.19120000000000001</v>
      </c>
    </row>
    <row r="39" spans="1:19" x14ac:dyDescent="0.3">
      <c r="A39" t="s">
        <v>18</v>
      </c>
      <c r="B39" s="6">
        <v>0.81449182870370374</v>
      </c>
      <c r="C39">
        <v>5.63</v>
      </c>
      <c r="D39">
        <v>7.9</v>
      </c>
      <c r="E39">
        <v>0.04</v>
      </c>
      <c r="F39">
        <v>0.14000000000000001</v>
      </c>
      <c r="G39">
        <v>0.08</v>
      </c>
      <c r="H39">
        <v>0.18</v>
      </c>
      <c r="I39">
        <v>59.99</v>
      </c>
      <c r="J39">
        <v>0.22520000000000001</v>
      </c>
      <c r="L39">
        <v>4.8899999999999997</v>
      </c>
      <c r="M39">
        <v>7.6</v>
      </c>
      <c r="N39">
        <v>0.04</v>
      </c>
      <c r="O39">
        <v>0.14000000000000001</v>
      </c>
      <c r="P39">
        <v>0.08</v>
      </c>
      <c r="Q39">
        <v>0.18</v>
      </c>
      <c r="R39">
        <v>60.011000000000003</v>
      </c>
      <c r="S39">
        <v>0.1956</v>
      </c>
    </row>
    <row r="40" spans="1:19" x14ac:dyDescent="0.3">
      <c r="A40" t="s">
        <v>18</v>
      </c>
      <c r="B40" s="6">
        <v>0.81450340277777777</v>
      </c>
      <c r="C40">
        <v>5.67</v>
      </c>
      <c r="D40">
        <v>7.9</v>
      </c>
      <c r="E40">
        <v>0.04</v>
      </c>
      <c r="F40">
        <v>0.14000000000000001</v>
      </c>
      <c r="G40">
        <v>0.08</v>
      </c>
      <c r="H40">
        <v>0.18</v>
      </c>
      <c r="I40">
        <v>59.99</v>
      </c>
      <c r="J40">
        <v>0.2268</v>
      </c>
      <c r="L40">
        <v>4.88</v>
      </c>
      <c r="M40">
        <v>7.4</v>
      </c>
      <c r="N40">
        <v>0.04</v>
      </c>
      <c r="O40">
        <v>0.14000000000000001</v>
      </c>
      <c r="P40">
        <v>0.08</v>
      </c>
      <c r="Q40">
        <v>0.18</v>
      </c>
      <c r="R40">
        <v>60.012999999999998</v>
      </c>
      <c r="S40">
        <v>0.19520000000000001</v>
      </c>
    </row>
    <row r="41" spans="1:19" x14ac:dyDescent="0.3">
      <c r="A41" t="s">
        <v>18</v>
      </c>
      <c r="B41" s="6">
        <v>0.81451497685185181</v>
      </c>
      <c r="C41">
        <v>5.67</v>
      </c>
      <c r="D41">
        <v>7.9</v>
      </c>
      <c r="E41">
        <v>0.04</v>
      </c>
      <c r="F41">
        <v>0.14000000000000001</v>
      </c>
      <c r="G41">
        <v>0.08</v>
      </c>
      <c r="H41">
        <v>0.18</v>
      </c>
      <c r="I41">
        <v>59.99</v>
      </c>
      <c r="J41">
        <v>0.2268</v>
      </c>
      <c r="L41">
        <v>4.8</v>
      </c>
      <c r="M41">
        <v>7.3</v>
      </c>
      <c r="N41">
        <v>0.04</v>
      </c>
      <c r="O41">
        <v>0.14000000000000001</v>
      </c>
      <c r="P41">
        <v>0.08</v>
      </c>
      <c r="Q41">
        <v>0.18</v>
      </c>
      <c r="R41">
        <v>60.011000000000003</v>
      </c>
      <c r="S41">
        <v>0.192</v>
      </c>
    </row>
    <row r="42" spans="1:19" x14ac:dyDescent="0.3">
      <c r="A42" t="s">
        <v>18</v>
      </c>
      <c r="B42" s="6">
        <v>0.81452655092592596</v>
      </c>
      <c r="C42">
        <v>5.67</v>
      </c>
      <c r="D42">
        <v>7.9</v>
      </c>
      <c r="E42">
        <v>0.04</v>
      </c>
      <c r="F42">
        <v>0.14000000000000001</v>
      </c>
      <c r="G42">
        <v>0.08</v>
      </c>
      <c r="H42">
        <v>0.18</v>
      </c>
      <c r="I42">
        <v>59.99</v>
      </c>
      <c r="J42">
        <v>0.2268</v>
      </c>
      <c r="L42">
        <v>5.0199999999999996</v>
      </c>
      <c r="M42">
        <v>7.6</v>
      </c>
      <c r="N42">
        <v>0.04</v>
      </c>
      <c r="O42">
        <v>0.14000000000000001</v>
      </c>
      <c r="P42">
        <v>0.08</v>
      </c>
      <c r="Q42">
        <v>0.18</v>
      </c>
      <c r="R42">
        <v>60.011000000000003</v>
      </c>
      <c r="S42">
        <v>0.20079999999999998</v>
      </c>
    </row>
    <row r="43" spans="1:19" x14ac:dyDescent="0.3">
      <c r="A43" t="s">
        <v>18</v>
      </c>
      <c r="B43" s="6">
        <v>0.814538125</v>
      </c>
      <c r="C43">
        <v>5.67</v>
      </c>
      <c r="D43">
        <v>7.9</v>
      </c>
      <c r="E43">
        <v>0.04</v>
      </c>
      <c r="F43">
        <v>0.14000000000000001</v>
      </c>
      <c r="G43">
        <v>0.08</v>
      </c>
      <c r="H43">
        <v>0.18</v>
      </c>
      <c r="I43">
        <v>59.99</v>
      </c>
      <c r="J43">
        <v>0.2268</v>
      </c>
      <c r="L43">
        <v>4.7699999999999996</v>
      </c>
      <c r="M43">
        <v>7.3</v>
      </c>
      <c r="N43">
        <v>0.04</v>
      </c>
      <c r="O43">
        <v>0.14000000000000001</v>
      </c>
      <c r="P43">
        <v>0.08</v>
      </c>
      <c r="Q43">
        <v>0.18</v>
      </c>
      <c r="R43">
        <v>60.012</v>
      </c>
      <c r="S43">
        <v>0.1908</v>
      </c>
    </row>
    <row r="44" spans="1:19" x14ac:dyDescent="0.3">
      <c r="A44" t="s">
        <v>18</v>
      </c>
      <c r="B44" s="6">
        <v>0.81454969907407404</v>
      </c>
      <c r="C44">
        <v>5.67</v>
      </c>
      <c r="D44">
        <v>7.9</v>
      </c>
      <c r="E44">
        <v>0.04</v>
      </c>
      <c r="F44">
        <v>0.14000000000000001</v>
      </c>
      <c r="G44">
        <v>0.08</v>
      </c>
      <c r="H44">
        <v>0.18</v>
      </c>
      <c r="I44">
        <v>59.99</v>
      </c>
      <c r="J44">
        <v>0.2268</v>
      </c>
      <c r="L44">
        <v>5.0199999999999996</v>
      </c>
      <c r="M44">
        <v>7.6</v>
      </c>
      <c r="N44">
        <v>0.04</v>
      </c>
      <c r="O44">
        <v>0.14000000000000001</v>
      </c>
      <c r="P44">
        <v>0.08</v>
      </c>
      <c r="Q44">
        <v>0.18</v>
      </c>
      <c r="R44">
        <v>60.01</v>
      </c>
      <c r="S44">
        <v>0.20079999999999998</v>
      </c>
    </row>
    <row r="45" spans="1:19" x14ac:dyDescent="0.3">
      <c r="A45" t="s">
        <v>18</v>
      </c>
      <c r="B45" s="6">
        <v>0.81456127314814819</v>
      </c>
      <c r="C45">
        <v>5.67</v>
      </c>
      <c r="D45">
        <v>7.9</v>
      </c>
      <c r="E45">
        <v>0.04</v>
      </c>
      <c r="F45">
        <v>0.14000000000000001</v>
      </c>
      <c r="G45">
        <v>0.08</v>
      </c>
      <c r="H45">
        <v>0.18</v>
      </c>
      <c r="I45">
        <v>59.988999999999997</v>
      </c>
      <c r="J45">
        <v>0.2268</v>
      </c>
      <c r="L45">
        <v>4.79</v>
      </c>
      <c r="M45">
        <v>7.3</v>
      </c>
      <c r="N45">
        <v>0.04</v>
      </c>
      <c r="O45">
        <v>0.14000000000000001</v>
      </c>
      <c r="P45">
        <v>0.08</v>
      </c>
      <c r="Q45">
        <v>0.18</v>
      </c>
      <c r="R45">
        <v>60.012999999999998</v>
      </c>
      <c r="S45">
        <v>0.19159999999999999</v>
      </c>
    </row>
    <row r="46" spans="1:19" x14ac:dyDescent="0.3">
      <c r="A46" t="s">
        <v>18</v>
      </c>
      <c r="B46" s="6">
        <v>0.81457284722222223</v>
      </c>
      <c r="C46">
        <v>5.67</v>
      </c>
      <c r="D46">
        <v>7.9</v>
      </c>
      <c r="E46">
        <v>0.04</v>
      </c>
      <c r="F46">
        <v>0.15</v>
      </c>
      <c r="G46">
        <v>0.08</v>
      </c>
      <c r="H46">
        <v>0.18</v>
      </c>
      <c r="I46">
        <v>59.988999999999997</v>
      </c>
      <c r="J46">
        <v>0.2268</v>
      </c>
      <c r="L46">
        <v>4.87</v>
      </c>
      <c r="M46">
        <v>7.4</v>
      </c>
      <c r="N46">
        <v>0.04</v>
      </c>
      <c r="O46">
        <v>0.14000000000000001</v>
      </c>
      <c r="P46">
        <v>0.08</v>
      </c>
      <c r="Q46">
        <v>0.18</v>
      </c>
      <c r="R46">
        <v>60.011000000000003</v>
      </c>
      <c r="S46">
        <v>0.1948</v>
      </c>
    </row>
    <row r="47" spans="1:19" x14ac:dyDescent="0.3">
      <c r="A47" t="s">
        <v>18</v>
      </c>
      <c r="B47" s="6">
        <v>0.81458442129629627</v>
      </c>
      <c r="C47">
        <v>5.67</v>
      </c>
      <c r="D47">
        <v>7.9</v>
      </c>
      <c r="E47">
        <v>0.04</v>
      </c>
      <c r="F47">
        <v>0.14000000000000001</v>
      </c>
      <c r="G47">
        <v>0.08</v>
      </c>
      <c r="H47">
        <v>0.18</v>
      </c>
      <c r="I47">
        <v>59.988999999999997</v>
      </c>
      <c r="J47">
        <v>0.2268</v>
      </c>
      <c r="L47">
        <v>4.96</v>
      </c>
      <c r="M47">
        <v>7.5</v>
      </c>
      <c r="N47">
        <v>0.04</v>
      </c>
      <c r="O47">
        <v>0.14000000000000001</v>
      </c>
      <c r="P47">
        <v>0.08</v>
      </c>
      <c r="Q47">
        <v>0.18</v>
      </c>
      <c r="R47">
        <v>60.012</v>
      </c>
      <c r="S47">
        <v>0.19839999999999999</v>
      </c>
    </row>
    <row r="48" spans="1:19" x14ac:dyDescent="0.3">
      <c r="A48" t="s">
        <v>18</v>
      </c>
      <c r="B48" s="6">
        <v>0.81459599537037042</v>
      </c>
      <c r="C48">
        <v>5.67</v>
      </c>
      <c r="D48">
        <v>7.9</v>
      </c>
      <c r="E48">
        <v>0.04</v>
      </c>
      <c r="F48">
        <v>0.14000000000000001</v>
      </c>
      <c r="G48">
        <v>0.08</v>
      </c>
      <c r="H48">
        <v>0.18</v>
      </c>
      <c r="I48">
        <v>59.988999999999997</v>
      </c>
      <c r="J48">
        <v>0.2268</v>
      </c>
      <c r="L48">
        <v>4.8</v>
      </c>
      <c r="M48">
        <v>7.3</v>
      </c>
      <c r="N48">
        <v>0.04</v>
      </c>
      <c r="O48">
        <v>0.14000000000000001</v>
      </c>
      <c r="P48">
        <v>0.08</v>
      </c>
      <c r="Q48">
        <v>0.18</v>
      </c>
      <c r="R48">
        <v>60.011000000000003</v>
      </c>
      <c r="S48">
        <v>0.192</v>
      </c>
    </row>
    <row r="49" spans="1:19" x14ac:dyDescent="0.3">
      <c r="A49" t="s">
        <v>18</v>
      </c>
      <c r="B49" s="6">
        <v>0.81460756944444446</v>
      </c>
      <c r="C49">
        <v>5.67</v>
      </c>
      <c r="D49">
        <v>7.9</v>
      </c>
      <c r="E49">
        <v>0.04</v>
      </c>
      <c r="F49">
        <v>0.14000000000000001</v>
      </c>
      <c r="G49">
        <v>0.08</v>
      </c>
      <c r="H49">
        <v>0.18</v>
      </c>
      <c r="I49">
        <v>59.988999999999997</v>
      </c>
      <c r="J49">
        <v>0.2268</v>
      </c>
      <c r="L49">
        <v>5.08</v>
      </c>
      <c r="M49">
        <v>7.7</v>
      </c>
      <c r="N49">
        <v>0.04</v>
      </c>
      <c r="O49">
        <v>0.14000000000000001</v>
      </c>
      <c r="P49">
        <v>0.08</v>
      </c>
      <c r="Q49">
        <v>0.18</v>
      </c>
      <c r="R49">
        <v>60.011000000000003</v>
      </c>
      <c r="S49">
        <v>0.20320000000000002</v>
      </c>
    </row>
    <row r="50" spans="1:19" x14ac:dyDescent="0.3">
      <c r="A50" t="s">
        <v>18</v>
      </c>
      <c r="B50" s="6">
        <v>0.8146191435185185</v>
      </c>
      <c r="C50">
        <v>5.67</v>
      </c>
      <c r="D50">
        <v>7.9</v>
      </c>
      <c r="E50">
        <v>0.04</v>
      </c>
      <c r="F50">
        <v>0.14000000000000001</v>
      </c>
      <c r="G50">
        <v>0.08</v>
      </c>
      <c r="H50">
        <v>0.18</v>
      </c>
      <c r="I50">
        <v>59.988</v>
      </c>
      <c r="J50">
        <v>0.2268</v>
      </c>
      <c r="L50">
        <v>4.7699999999999996</v>
      </c>
      <c r="M50">
        <v>7.3</v>
      </c>
      <c r="N50">
        <v>0.04</v>
      </c>
      <c r="O50">
        <v>0.15</v>
      </c>
      <c r="P50">
        <v>0.08</v>
      </c>
      <c r="Q50">
        <v>0.18</v>
      </c>
      <c r="R50">
        <v>60.012999999999998</v>
      </c>
      <c r="S50">
        <v>0.1908</v>
      </c>
    </row>
    <row r="51" spans="1:19" x14ac:dyDescent="0.3">
      <c r="A51" t="s">
        <v>18</v>
      </c>
      <c r="B51" s="6">
        <v>0.81463071759259265</v>
      </c>
      <c r="C51">
        <v>5.67</v>
      </c>
      <c r="D51">
        <v>7.9</v>
      </c>
      <c r="E51">
        <v>0.04</v>
      </c>
      <c r="F51">
        <v>0.15</v>
      </c>
      <c r="G51">
        <v>0.08</v>
      </c>
      <c r="H51">
        <v>0.18</v>
      </c>
      <c r="I51">
        <v>59.988</v>
      </c>
      <c r="J51">
        <v>0.2268</v>
      </c>
      <c r="L51">
        <v>4.99</v>
      </c>
      <c r="M51">
        <v>7.5</v>
      </c>
      <c r="N51">
        <v>0.04</v>
      </c>
      <c r="O51">
        <v>0.15</v>
      </c>
      <c r="P51">
        <v>0.08</v>
      </c>
      <c r="Q51">
        <v>0.18</v>
      </c>
      <c r="R51">
        <v>60.011000000000003</v>
      </c>
      <c r="S51">
        <v>0.1996</v>
      </c>
    </row>
    <row r="52" spans="1:19" x14ac:dyDescent="0.3">
      <c r="A52" t="s">
        <v>18</v>
      </c>
      <c r="B52" s="6">
        <v>0.81464229166666668</v>
      </c>
      <c r="C52">
        <v>5.67</v>
      </c>
      <c r="D52">
        <v>7.9</v>
      </c>
      <c r="E52">
        <v>0.04</v>
      </c>
      <c r="F52">
        <v>0.15</v>
      </c>
      <c r="G52">
        <v>0.1</v>
      </c>
      <c r="H52">
        <v>0.18</v>
      </c>
      <c r="I52">
        <v>59.988</v>
      </c>
      <c r="J52">
        <v>0.2268</v>
      </c>
      <c r="L52">
        <v>4.8499999999999996</v>
      </c>
      <c r="M52">
        <v>7.4</v>
      </c>
      <c r="N52">
        <v>0.04</v>
      </c>
      <c r="O52">
        <v>0.14000000000000001</v>
      </c>
      <c r="P52">
        <v>0.08</v>
      </c>
      <c r="Q52">
        <v>0.18</v>
      </c>
      <c r="R52">
        <v>60.014000000000003</v>
      </c>
      <c r="S52">
        <v>0.19399999999999998</v>
      </c>
    </row>
    <row r="53" spans="1:19" x14ac:dyDescent="0.3">
      <c r="A53" t="s">
        <v>18</v>
      </c>
      <c r="B53" s="6">
        <v>0.81465386574074072</v>
      </c>
      <c r="C53">
        <v>5.67</v>
      </c>
      <c r="D53">
        <v>7.9</v>
      </c>
      <c r="E53">
        <v>0.04</v>
      </c>
      <c r="F53">
        <v>0.15</v>
      </c>
      <c r="G53">
        <v>0.08</v>
      </c>
      <c r="H53">
        <v>0.18</v>
      </c>
      <c r="I53">
        <v>59.988</v>
      </c>
      <c r="J53">
        <v>0.2268</v>
      </c>
      <c r="L53">
        <v>4.8899999999999997</v>
      </c>
      <c r="M53">
        <v>7.4</v>
      </c>
      <c r="N53">
        <v>0.04</v>
      </c>
      <c r="O53">
        <v>0.14000000000000001</v>
      </c>
      <c r="P53">
        <v>0.08</v>
      </c>
      <c r="Q53">
        <v>0.18</v>
      </c>
      <c r="R53">
        <v>60.011000000000003</v>
      </c>
      <c r="S53">
        <v>0.1956</v>
      </c>
    </row>
    <row r="54" spans="1:19" x14ac:dyDescent="0.3">
      <c r="A54" t="s">
        <v>18</v>
      </c>
      <c r="B54" s="6">
        <v>0.81466543981481476</v>
      </c>
      <c r="C54">
        <v>5.67</v>
      </c>
      <c r="D54">
        <v>7.9</v>
      </c>
      <c r="E54">
        <v>0.04</v>
      </c>
      <c r="F54">
        <v>0.14000000000000001</v>
      </c>
      <c r="G54">
        <v>0.08</v>
      </c>
      <c r="H54">
        <v>0.18</v>
      </c>
      <c r="I54">
        <v>59.988</v>
      </c>
      <c r="J54">
        <v>0.2268</v>
      </c>
      <c r="L54">
        <v>4.96</v>
      </c>
      <c r="M54">
        <v>7.5</v>
      </c>
      <c r="N54">
        <v>0.04</v>
      </c>
      <c r="O54">
        <v>0.15</v>
      </c>
      <c r="P54">
        <v>0.08</v>
      </c>
      <c r="Q54">
        <v>0.18</v>
      </c>
      <c r="R54">
        <v>60.012999999999998</v>
      </c>
      <c r="S54">
        <v>0.19839999999999999</v>
      </c>
    </row>
    <row r="55" spans="1:19" x14ac:dyDescent="0.3">
      <c r="A55" t="s">
        <v>18</v>
      </c>
      <c r="B55" s="6">
        <v>0.81467701388888891</v>
      </c>
      <c r="C55">
        <v>5.67</v>
      </c>
      <c r="D55">
        <v>7.9</v>
      </c>
      <c r="E55">
        <v>0.04</v>
      </c>
      <c r="F55">
        <v>0.14000000000000001</v>
      </c>
      <c r="G55">
        <v>0.08</v>
      </c>
      <c r="H55">
        <v>0.18</v>
      </c>
      <c r="I55">
        <v>59.988999999999997</v>
      </c>
      <c r="J55">
        <v>0.2268</v>
      </c>
      <c r="L55">
        <v>4.8099999999999996</v>
      </c>
      <c r="M55">
        <v>7.3</v>
      </c>
      <c r="N55">
        <v>0.04</v>
      </c>
      <c r="O55">
        <v>0.15</v>
      </c>
      <c r="P55">
        <v>0.08</v>
      </c>
      <c r="Q55">
        <v>0.18</v>
      </c>
      <c r="R55">
        <v>60.012</v>
      </c>
      <c r="S55">
        <v>0.19239999999999999</v>
      </c>
    </row>
    <row r="56" spans="1:19" x14ac:dyDescent="0.3">
      <c r="A56" t="s">
        <v>18</v>
      </c>
      <c r="B56" s="6">
        <v>0.81468858796296295</v>
      </c>
      <c r="C56">
        <v>5.67</v>
      </c>
      <c r="D56">
        <v>7.9</v>
      </c>
      <c r="E56">
        <v>0.04</v>
      </c>
      <c r="F56">
        <v>0.14000000000000001</v>
      </c>
      <c r="G56">
        <v>0.08</v>
      </c>
      <c r="H56">
        <v>0.18</v>
      </c>
      <c r="I56">
        <v>59.988999999999997</v>
      </c>
      <c r="J56">
        <v>0.2268</v>
      </c>
      <c r="L56">
        <v>5.07</v>
      </c>
      <c r="M56">
        <v>7.6</v>
      </c>
      <c r="N56">
        <v>0.04</v>
      </c>
      <c r="O56">
        <v>0.15</v>
      </c>
      <c r="P56">
        <v>0.08</v>
      </c>
      <c r="Q56">
        <v>0.18</v>
      </c>
      <c r="R56">
        <v>60.011000000000003</v>
      </c>
      <c r="S56">
        <v>0.20280000000000001</v>
      </c>
    </row>
    <row r="57" spans="1:19" x14ac:dyDescent="0.3">
      <c r="A57" t="s">
        <v>18</v>
      </c>
      <c r="B57" s="6">
        <v>0.81470016203703699</v>
      </c>
      <c r="C57">
        <v>5.67</v>
      </c>
      <c r="D57">
        <v>7.9</v>
      </c>
      <c r="E57">
        <v>0.04</v>
      </c>
      <c r="F57">
        <v>0.14000000000000001</v>
      </c>
      <c r="G57">
        <v>0.08</v>
      </c>
      <c r="H57">
        <v>0.18</v>
      </c>
      <c r="I57">
        <v>59.99</v>
      </c>
      <c r="J57">
        <v>0.2268</v>
      </c>
      <c r="L57">
        <v>4.78</v>
      </c>
      <c r="M57">
        <v>7.4</v>
      </c>
      <c r="N57">
        <v>0.04</v>
      </c>
      <c r="O57">
        <v>0.15</v>
      </c>
      <c r="P57">
        <v>0.08</v>
      </c>
      <c r="Q57">
        <v>0.18</v>
      </c>
      <c r="R57">
        <v>60.012999999999998</v>
      </c>
      <c r="S57">
        <v>0.19120000000000001</v>
      </c>
    </row>
    <row r="58" spans="1:19" x14ac:dyDescent="0.3">
      <c r="A58" t="s">
        <v>18</v>
      </c>
      <c r="B58" s="6">
        <v>0.81471173611111114</v>
      </c>
      <c r="C58">
        <v>5.67</v>
      </c>
      <c r="D58">
        <v>7.9</v>
      </c>
      <c r="E58">
        <v>0.04</v>
      </c>
      <c r="F58">
        <v>0.14000000000000001</v>
      </c>
      <c r="G58">
        <v>0.08</v>
      </c>
      <c r="H58">
        <v>0.18</v>
      </c>
      <c r="I58">
        <v>59.991</v>
      </c>
      <c r="J58">
        <v>0.2268</v>
      </c>
      <c r="L58">
        <v>5.01</v>
      </c>
      <c r="M58">
        <v>7.7</v>
      </c>
      <c r="N58">
        <v>0.04</v>
      </c>
      <c r="O58">
        <v>0.14000000000000001</v>
      </c>
      <c r="P58">
        <v>0.08</v>
      </c>
      <c r="Q58">
        <v>0.18</v>
      </c>
      <c r="R58">
        <v>60.011000000000003</v>
      </c>
      <c r="S58">
        <v>0.20039999999999999</v>
      </c>
    </row>
    <row r="59" spans="1:19" x14ac:dyDescent="0.3">
      <c r="A59" t="s">
        <v>18</v>
      </c>
      <c r="B59" s="6">
        <v>0.81472331018518518</v>
      </c>
      <c r="C59">
        <v>5.67</v>
      </c>
      <c r="D59">
        <v>7.9</v>
      </c>
      <c r="E59">
        <v>0.04</v>
      </c>
      <c r="F59">
        <v>0.14000000000000001</v>
      </c>
      <c r="G59">
        <v>0.08</v>
      </c>
      <c r="H59">
        <v>0.18</v>
      </c>
      <c r="I59">
        <v>59.991999999999997</v>
      </c>
      <c r="J59">
        <v>0.2268</v>
      </c>
      <c r="L59">
        <v>4.9000000000000004</v>
      </c>
      <c r="M59">
        <v>7.4</v>
      </c>
      <c r="N59">
        <v>0.04</v>
      </c>
      <c r="O59">
        <v>0.14000000000000001</v>
      </c>
      <c r="P59">
        <v>0.08</v>
      </c>
      <c r="Q59">
        <v>0.18</v>
      </c>
      <c r="R59">
        <v>60.012</v>
      </c>
      <c r="S59">
        <v>0.19600000000000001</v>
      </c>
    </row>
    <row r="60" spans="1:19" x14ac:dyDescent="0.3">
      <c r="A60" t="s">
        <v>18</v>
      </c>
      <c r="B60" s="6">
        <v>0.81473488425925922</v>
      </c>
      <c r="C60">
        <v>5.67</v>
      </c>
      <c r="D60">
        <v>7.9</v>
      </c>
      <c r="E60">
        <v>0.04</v>
      </c>
      <c r="F60">
        <v>0.14000000000000001</v>
      </c>
      <c r="G60">
        <v>0.08</v>
      </c>
      <c r="H60">
        <v>0.18</v>
      </c>
      <c r="I60">
        <v>59.991999999999997</v>
      </c>
      <c r="J60">
        <v>0.2268</v>
      </c>
      <c r="L60">
        <v>4.83</v>
      </c>
      <c r="M60">
        <v>7.3</v>
      </c>
      <c r="N60">
        <v>0.04</v>
      </c>
      <c r="O60">
        <v>0.14000000000000001</v>
      </c>
      <c r="P60">
        <v>0.08</v>
      </c>
      <c r="Q60">
        <v>0.18</v>
      </c>
      <c r="R60">
        <v>60.011000000000003</v>
      </c>
      <c r="S60">
        <v>0.19320000000000001</v>
      </c>
    </row>
    <row r="61" spans="1:19" x14ac:dyDescent="0.3">
      <c r="A61" t="s">
        <v>18</v>
      </c>
      <c r="B61" s="6">
        <v>0.81474645833333337</v>
      </c>
      <c r="C61">
        <v>5.67</v>
      </c>
      <c r="D61">
        <v>7.9</v>
      </c>
      <c r="E61">
        <v>0.04</v>
      </c>
      <c r="F61">
        <v>0.14000000000000001</v>
      </c>
      <c r="G61">
        <v>0.08</v>
      </c>
      <c r="H61">
        <v>0.18</v>
      </c>
      <c r="I61">
        <v>59.993000000000002</v>
      </c>
      <c r="J61">
        <v>0.2268</v>
      </c>
      <c r="L61">
        <v>5.01</v>
      </c>
      <c r="M61">
        <v>7.6</v>
      </c>
      <c r="N61">
        <v>0.04</v>
      </c>
      <c r="O61">
        <v>0.14000000000000001</v>
      </c>
      <c r="P61">
        <v>0.08</v>
      </c>
      <c r="Q61">
        <v>0.18</v>
      </c>
      <c r="R61">
        <v>60.01</v>
      </c>
      <c r="S61">
        <v>0.20039999999999999</v>
      </c>
    </row>
    <row r="62" spans="1:19" x14ac:dyDescent="0.3">
      <c r="A62" t="s">
        <v>18</v>
      </c>
      <c r="B62" s="6">
        <v>0.81475803240740741</v>
      </c>
      <c r="C62">
        <v>5.67</v>
      </c>
      <c r="D62">
        <v>7.9</v>
      </c>
      <c r="E62">
        <v>0.04</v>
      </c>
      <c r="F62">
        <v>0.14000000000000001</v>
      </c>
      <c r="G62">
        <v>0.08</v>
      </c>
      <c r="H62">
        <v>0.18</v>
      </c>
      <c r="I62">
        <v>59.994</v>
      </c>
      <c r="J62">
        <v>0.2268</v>
      </c>
      <c r="L62">
        <v>4.74</v>
      </c>
      <c r="M62">
        <v>7.3</v>
      </c>
      <c r="N62">
        <v>0.04</v>
      </c>
      <c r="O62">
        <v>0.15</v>
      </c>
      <c r="P62">
        <v>0.08</v>
      </c>
      <c r="Q62">
        <v>0.18</v>
      </c>
      <c r="R62">
        <v>60.01</v>
      </c>
      <c r="S62">
        <v>0.18960000000000002</v>
      </c>
    </row>
    <row r="63" spans="1:19" x14ac:dyDescent="0.3">
      <c r="A63" t="s">
        <v>18</v>
      </c>
      <c r="B63" s="6">
        <v>0.81476960648148145</v>
      </c>
      <c r="C63">
        <v>5.67</v>
      </c>
      <c r="D63">
        <v>7.9</v>
      </c>
      <c r="E63">
        <v>0.04</v>
      </c>
      <c r="F63">
        <v>0.14000000000000001</v>
      </c>
      <c r="G63">
        <v>0.08</v>
      </c>
      <c r="H63">
        <v>0.18</v>
      </c>
      <c r="I63">
        <v>59.994999999999997</v>
      </c>
      <c r="J63">
        <v>0.2268</v>
      </c>
      <c r="L63">
        <v>5.1100000000000003</v>
      </c>
      <c r="M63">
        <v>7.7</v>
      </c>
      <c r="N63">
        <v>0.04</v>
      </c>
      <c r="O63">
        <v>0.15</v>
      </c>
      <c r="P63">
        <v>0.08</v>
      </c>
      <c r="Q63">
        <v>0.18</v>
      </c>
      <c r="R63">
        <v>60.009</v>
      </c>
      <c r="S63">
        <v>0.20440000000000003</v>
      </c>
    </row>
    <row r="64" spans="1:19" x14ac:dyDescent="0.3">
      <c r="A64" t="s">
        <v>18</v>
      </c>
      <c r="B64" s="6">
        <v>0.8147811805555556</v>
      </c>
      <c r="C64">
        <v>5.67</v>
      </c>
      <c r="D64">
        <v>7.9</v>
      </c>
      <c r="E64">
        <v>0.04</v>
      </c>
      <c r="F64">
        <v>0.14000000000000001</v>
      </c>
      <c r="G64">
        <v>0.08</v>
      </c>
      <c r="H64">
        <v>0.18</v>
      </c>
      <c r="I64">
        <v>59.996000000000002</v>
      </c>
      <c r="J64">
        <v>0.2268</v>
      </c>
      <c r="L64">
        <v>4.8099999999999996</v>
      </c>
      <c r="M64">
        <v>7.3</v>
      </c>
      <c r="N64">
        <v>0.04</v>
      </c>
      <c r="O64">
        <v>0.15</v>
      </c>
      <c r="P64">
        <v>0.08</v>
      </c>
      <c r="Q64">
        <v>0.18</v>
      </c>
      <c r="R64">
        <v>60.01</v>
      </c>
      <c r="S64">
        <v>0.19239999999999999</v>
      </c>
    </row>
    <row r="65" spans="1:19" x14ac:dyDescent="0.3">
      <c r="A65" t="s">
        <v>18</v>
      </c>
      <c r="B65" s="6">
        <v>0.81479275462962963</v>
      </c>
      <c r="C65">
        <v>5.67</v>
      </c>
      <c r="D65">
        <v>7.9</v>
      </c>
      <c r="E65">
        <v>0.04</v>
      </c>
      <c r="F65">
        <v>0.14000000000000001</v>
      </c>
      <c r="G65">
        <v>0.08</v>
      </c>
      <c r="H65">
        <v>0.18</v>
      </c>
      <c r="I65">
        <v>59.997</v>
      </c>
      <c r="J65">
        <v>0.2268</v>
      </c>
      <c r="L65">
        <v>4.9800000000000004</v>
      </c>
      <c r="M65">
        <v>7.5</v>
      </c>
      <c r="N65">
        <v>0.04</v>
      </c>
      <c r="O65">
        <v>0.15</v>
      </c>
      <c r="P65">
        <v>0.08</v>
      </c>
      <c r="Q65">
        <v>0.18</v>
      </c>
      <c r="R65">
        <v>60.008000000000003</v>
      </c>
      <c r="S65">
        <v>0.19920000000000002</v>
      </c>
    </row>
    <row r="66" spans="1:19" x14ac:dyDescent="0.3">
      <c r="A66" t="s">
        <v>18</v>
      </c>
      <c r="B66" s="6">
        <v>0.81480432870370367</v>
      </c>
      <c r="C66">
        <v>5.67</v>
      </c>
      <c r="D66">
        <v>7.9</v>
      </c>
      <c r="E66">
        <v>0.04</v>
      </c>
      <c r="F66">
        <v>0.14000000000000001</v>
      </c>
      <c r="G66">
        <v>0.1</v>
      </c>
      <c r="H66">
        <v>0.18</v>
      </c>
      <c r="I66">
        <v>59.997999999999998</v>
      </c>
      <c r="J66">
        <v>0.2268</v>
      </c>
      <c r="L66">
        <v>4.91</v>
      </c>
      <c r="M66">
        <v>7.4</v>
      </c>
      <c r="N66">
        <v>0.04</v>
      </c>
      <c r="O66">
        <v>0.15</v>
      </c>
      <c r="P66">
        <v>0.08</v>
      </c>
      <c r="Q66">
        <v>0.18</v>
      </c>
      <c r="R66">
        <v>60.01</v>
      </c>
      <c r="S66">
        <v>0.19640000000000002</v>
      </c>
    </row>
    <row r="67" spans="1:19" x14ac:dyDescent="0.3">
      <c r="A67" t="s">
        <v>18</v>
      </c>
      <c r="B67" s="6">
        <v>0.81481590277777782</v>
      </c>
      <c r="C67">
        <v>5.67</v>
      </c>
      <c r="D67">
        <v>7.9</v>
      </c>
      <c r="E67">
        <v>0.04</v>
      </c>
      <c r="F67">
        <v>0.14000000000000001</v>
      </c>
      <c r="G67">
        <v>0.08</v>
      </c>
      <c r="H67">
        <v>0.18</v>
      </c>
      <c r="I67">
        <v>59.999000000000002</v>
      </c>
      <c r="J67">
        <v>0.2268</v>
      </c>
      <c r="L67">
        <v>4.84</v>
      </c>
      <c r="M67">
        <v>7.4</v>
      </c>
      <c r="N67">
        <v>0.04</v>
      </c>
      <c r="O67">
        <v>0.15</v>
      </c>
      <c r="P67">
        <v>0.08</v>
      </c>
      <c r="Q67">
        <v>0.18</v>
      </c>
      <c r="R67">
        <v>60.008000000000003</v>
      </c>
      <c r="S67">
        <v>0.19359999999999999</v>
      </c>
    </row>
    <row r="68" spans="1:19" x14ac:dyDescent="0.3">
      <c r="A68" t="s">
        <v>18</v>
      </c>
      <c r="B68" s="6">
        <v>0.81482747685185186</v>
      </c>
      <c r="C68">
        <v>5.67</v>
      </c>
      <c r="D68">
        <v>7.9</v>
      </c>
      <c r="E68">
        <v>0.04</v>
      </c>
      <c r="F68">
        <v>0.14000000000000001</v>
      </c>
      <c r="G68">
        <v>0.08</v>
      </c>
      <c r="H68">
        <v>0.18</v>
      </c>
      <c r="I68">
        <v>59.999000000000002</v>
      </c>
      <c r="J68">
        <v>0.2268</v>
      </c>
      <c r="L68">
        <v>5.0599999999999996</v>
      </c>
      <c r="M68">
        <v>7.6</v>
      </c>
      <c r="N68">
        <v>0.04</v>
      </c>
      <c r="O68">
        <v>0.15</v>
      </c>
      <c r="P68">
        <v>0.08</v>
      </c>
      <c r="Q68">
        <v>0.18</v>
      </c>
      <c r="R68">
        <v>60.01</v>
      </c>
      <c r="S68">
        <v>0.2024</v>
      </c>
    </row>
    <row r="69" spans="1:19" x14ac:dyDescent="0.3">
      <c r="A69" t="s">
        <v>18</v>
      </c>
      <c r="B69" s="6">
        <v>0.8148390509259259</v>
      </c>
      <c r="C69">
        <v>5.65</v>
      </c>
      <c r="D69">
        <v>7.9</v>
      </c>
      <c r="E69">
        <v>0.04</v>
      </c>
      <c r="F69">
        <v>0.14000000000000001</v>
      </c>
      <c r="G69">
        <v>0.1</v>
      </c>
      <c r="H69">
        <v>0.18</v>
      </c>
      <c r="I69">
        <v>60</v>
      </c>
      <c r="J69">
        <v>0.22600000000000001</v>
      </c>
      <c r="L69">
        <v>4.7699999999999996</v>
      </c>
      <c r="M69">
        <v>7.4</v>
      </c>
      <c r="N69">
        <v>0.04</v>
      </c>
      <c r="O69">
        <v>0.15</v>
      </c>
      <c r="P69">
        <v>0.08</v>
      </c>
      <c r="Q69">
        <v>0.18</v>
      </c>
      <c r="R69">
        <v>60.01</v>
      </c>
      <c r="S69">
        <v>0.1908</v>
      </c>
    </row>
    <row r="70" spans="1:19" x14ac:dyDescent="0.3">
      <c r="A70" t="s">
        <v>18</v>
      </c>
      <c r="B70" s="6">
        <v>0.81485062500000005</v>
      </c>
      <c r="C70">
        <v>5.62</v>
      </c>
      <c r="D70">
        <v>7.9</v>
      </c>
      <c r="E70">
        <v>0.04</v>
      </c>
      <c r="F70">
        <v>0.14000000000000001</v>
      </c>
      <c r="G70">
        <v>0.08</v>
      </c>
      <c r="H70">
        <v>0.18</v>
      </c>
      <c r="I70">
        <v>60</v>
      </c>
      <c r="J70">
        <v>0.2248</v>
      </c>
      <c r="L70">
        <v>5.07</v>
      </c>
      <c r="M70">
        <v>7.6</v>
      </c>
      <c r="N70">
        <v>0.04</v>
      </c>
      <c r="O70">
        <v>0.15</v>
      </c>
      <c r="P70">
        <v>0.08</v>
      </c>
      <c r="Q70">
        <v>0.18</v>
      </c>
      <c r="R70">
        <v>60.009</v>
      </c>
      <c r="S70">
        <v>0.20280000000000001</v>
      </c>
    </row>
    <row r="71" spans="1:19" x14ac:dyDescent="0.3">
      <c r="A71" t="s">
        <v>18</v>
      </c>
      <c r="B71" s="6">
        <v>0.81486219907407409</v>
      </c>
      <c r="C71">
        <v>5.62</v>
      </c>
      <c r="D71">
        <v>7.9</v>
      </c>
      <c r="E71">
        <v>0.04</v>
      </c>
      <c r="F71">
        <v>0.14000000000000001</v>
      </c>
      <c r="G71">
        <v>0.08</v>
      </c>
      <c r="H71">
        <v>0.18</v>
      </c>
      <c r="I71">
        <v>60</v>
      </c>
      <c r="J71">
        <v>0.2248</v>
      </c>
      <c r="L71">
        <v>4.79</v>
      </c>
      <c r="M71">
        <v>7.3</v>
      </c>
      <c r="N71">
        <v>0.04</v>
      </c>
      <c r="O71">
        <v>0.15</v>
      </c>
      <c r="P71">
        <v>0.08</v>
      </c>
      <c r="Q71">
        <v>0.18</v>
      </c>
      <c r="R71">
        <v>60.012999999999998</v>
      </c>
      <c r="S71">
        <v>0.19159999999999999</v>
      </c>
    </row>
    <row r="72" spans="1:19" x14ac:dyDescent="0.3">
      <c r="A72" t="s">
        <v>18</v>
      </c>
      <c r="B72" s="6">
        <v>0.81487377314814813</v>
      </c>
      <c r="C72">
        <v>5.62</v>
      </c>
      <c r="D72">
        <v>7.9</v>
      </c>
      <c r="E72">
        <v>0.04</v>
      </c>
      <c r="F72">
        <v>0.14000000000000001</v>
      </c>
      <c r="G72">
        <v>0.08</v>
      </c>
      <c r="H72">
        <v>0.18</v>
      </c>
      <c r="I72">
        <v>60</v>
      </c>
      <c r="J72">
        <v>0.2248</v>
      </c>
      <c r="L72">
        <v>4.92</v>
      </c>
      <c r="M72">
        <v>7.5</v>
      </c>
      <c r="N72">
        <v>0.04</v>
      </c>
      <c r="O72">
        <v>0.14000000000000001</v>
      </c>
      <c r="P72">
        <v>0.08</v>
      </c>
      <c r="Q72">
        <v>0.18</v>
      </c>
      <c r="R72">
        <v>60.011000000000003</v>
      </c>
      <c r="S72">
        <v>0.1968</v>
      </c>
    </row>
    <row r="73" spans="1:19" x14ac:dyDescent="0.3">
      <c r="A73" t="s">
        <v>18</v>
      </c>
      <c r="B73" s="6">
        <v>0.81488534722222217</v>
      </c>
      <c r="C73">
        <v>5.62</v>
      </c>
      <c r="D73">
        <v>7.9</v>
      </c>
      <c r="E73">
        <v>0.04</v>
      </c>
      <c r="F73">
        <v>0.14000000000000001</v>
      </c>
      <c r="G73">
        <v>0.08</v>
      </c>
      <c r="H73">
        <v>0.18</v>
      </c>
      <c r="I73">
        <v>60</v>
      </c>
      <c r="J73">
        <v>0.2248</v>
      </c>
      <c r="L73">
        <v>4.91</v>
      </c>
      <c r="M73">
        <v>7.5</v>
      </c>
      <c r="N73">
        <v>0.04</v>
      </c>
      <c r="O73">
        <v>0.15</v>
      </c>
      <c r="P73">
        <v>0.08</v>
      </c>
      <c r="Q73">
        <v>0.18</v>
      </c>
      <c r="R73">
        <v>60.014000000000003</v>
      </c>
      <c r="S73">
        <v>0.19640000000000002</v>
      </c>
    </row>
    <row r="74" spans="1:19" x14ac:dyDescent="0.3">
      <c r="A74" t="s">
        <v>18</v>
      </c>
      <c r="B74" s="6">
        <v>0.81489692129629632</v>
      </c>
      <c r="C74">
        <v>5.62</v>
      </c>
      <c r="D74">
        <v>7.9</v>
      </c>
      <c r="E74">
        <v>0.04</v>
      </c>
      <c r="F74">
        <v>0.14000000000000001</v>
      </c>
      <c r="G74">
        <v>0.08</v>
      </c>
      <c r="H74">
        <v>0.18</v>
      </c>
      <c r="I74">
        <v>60</v>
      </c>
      <c r="J74">
        <v>0.2248</v>
      </c>
      <c r="L74">
        <v>4.9400000000000004</v>
      </c>
      <c r="M74">
        <v>7.7</v>
      </c>
      <c r="N74">
        <v>0.04</v>
      </c>
      <c r="O74">
        <v>0.15</v>
      </c>
      <c r="P74">
        <v>0.08</v>
      </c>
      <c r="Q74">
        <v>0.18</v>
      </c>
      <c r="R74">
        <v>60.014000000000003</v>
      </c>
      <c r="S74">
        <v>0.19760000000000003</v>
      </c>
    </row>
    <row r="75" spans="1:19" x14ac:dyDescent="0.3">
      <c r="A75" t="s">
        <v>18</v>
      </c>
      <c r="B75" s="6">
        <v>0.81490849537037036</v>
      </c>
      <c r="C75">
        <v>5.61</v>
      </c>
      <c r="D75">
        <v>7.9</v>
      </c>
      <c r="E75">
        <v>0.04</v>
      </c>
      <c r="F75">
        <v>0.14000000000000001</v>
      </c>
      <c r="G75">
        <v>0.08</v>
      </c>
      <c r="H75">
        <v>0.18</v>
      </c>
      <c r="I75">
        <v>60</v>
      </c>
      <c r="J75">
        <v>0.22440000000000002</v>
      </c>
      <c r="L75">
        <v>5.0999999999999996</v>
      </c>
      <c r="M75">
        <v>7.8</v>
      </c>
      <c r="N75">
        <v>0.04</v>
      </c>
      <c r="O75">
        <v>0.15</v>
      </c>
      <c r="P75">
        <v>0.08</v>
      </c>
      <c r="Q75">
        <v>0.18</v>
      </c>
      <c r="R75">
        <v>60.015999999999998</v>
      </c>
      <c r="S75">
        <v>0.20399999999999999</v>
      </c>
    </row>
    <row r="76" spans="1:19" x14ac:dyDescent="0.3">
      <c r="A76" t="s">
        <v>18</v>
      </c>
      <c r="B76" s="6">
        <v>0.81492006944444439</v>
      </c>
      <c r="C76">
        <v>5.61</v>
      </c>
      <c r="D76">
        <v>7.8</v>
      </c>
      <c r="E76">
        <v>0.04</v>
      </c>
      <c r="F76">
        <v>0.14000000000000001</v>
      </c>
      <c r="G76">
        <v>0.08</v>
      </c>
      <c r="H76">
        <v>0.18</v>
      </c>
      <c r="I76">
        <v>60</v>
      </c>
      <c r="J76">
        <v>0.22440000000000002</v>
      </c>
      <c r="L76">
        <v>4.83</v>
      </c>
      <c r="M76">
        <v>7.5</v>
      </c>
      <c r="N76">
        <v>0.04</v>
      </c>
      <c r="O76">
        <v>0.15</v>
      </c>
      <c r="P76">
        <v>0.08</v>
      </c>
      <c r="Q76">
        <v>0.18</v>
      </c>
      <c r="R76">
        <v>60.015999999999998</v>
      </c>
      <c r="S76">
        <v>0.19320000000000001</v>
      </c>
    </row>
    <row r="77" spans="1:19" x14ac:dyDescent="0.3">
      <c r="A77" t="s">
        <v>18</v>
      </c>
      <c r="B77" s="6">
        <v>0.81493164351851854</v>
      </c>
      <c r="C77">
        <v>5.61</v>
      </c>
      <c r="D77">
        <v>7.9</v>
      </c>
      <c r="E77">
        <v>0.04</v>
      </c>
      <c r="F77">
        <v>0.14000000000000001</v>
      </c>
      <c r="G77">
        <v>0.1</v>
      </c>
      <c r="H77">
        <v>0.18</v>
      </c>
      <c r="I77">
        <v>60</v>
      </c>
      <c r="J77">
        <v>0.22440000000000002</v>
      </c>
      <c r="L77">
        <v>5.12</v>
      </c>
      <c r="M77">
        <v>7.8</v>
      </c>
      <c r="N77">
        <v>0.04</v>
      </c>
      <c r="O77">
        <v>0.15</v>
      </c>
      <c r="P77">
        <v>0.08</v>
      </c>
      <c r="Q77">
        <v>0.18</v>
      </c>
      <c r="R77">
        <v>60.014000000000003</v>
      </c>
      <c r="S77">
        <v>0.20480000000000001</v>
      </c>
    </row>
    <row r="78" spans="1:19" x14ac:dyDescent="0.3">
      <c r="A78" t="s">
        <v>18</v>
      </c>
      <c r="B78" s="6">
        <v>0.81494321759259258</v>
      </c>
      <c r="C78">
        <v>5.61</v>
      </c>
      <c r="D78">
        <v>7.8</v>
      </c>
      <c r="E78">
        <v>0.04</v>
      </c>
      <c r="F78">
        <v>0.14000000000000001</v>
      </c>
      <c r="G78">
        <v>0.1</v>
      </c>
      <c r="H78">
        <v>0.18</v>
      </c>
      <c r="I78">
        <v>60</v>
      </c>
      <c r="J78">
        <v>0.22440000000000002</v>
      </c>
      <c r="L78">
        <v>4.87</v>
      </c>
      <c r="M78">
        <v>7.6</v>
      </c>
      <c r="N78">
        <v>0.04</v>
      </c>
      <c r="O78">
        <v>0.15</v>
      </c>
      <c r="P78">
        <v>0.08</v>
      </c>
      <c r="Q78">
        <v>0.18</v>
      </c>
      <c r="R78">
        <v>60.015000000000001</v>
      </c>
      <c r="S78">
        <v>0.1948</v>
      </c>
    </row>
    <row r="79" spans="1:19" x14ac:dyDescent="0.3">
      <c r="A79" t="s">
        <v>18</v>
      </c>
      <c r="B79" s="6">
        <v>0.81495479166666662</v>
      </c>
      <c r="C79">
        <v>5.47</v>
      </c>
      <c r="D79">
        <v>7.7</v>
      </c>
      <c r="E79">
        <v>0.04</v>
      </c>
      <c r="F79">
        <v>0.14000000000000001</v>
      </c>
      <c r="G79">
        <v>0.08</v>
      </c>
      <c r="H79">
        <v>0.18</v>
      </c>
      <c r="I79">
        <v>60</v>
      </c>
      <c r="J79">
        <v>0.21879999999999999</v>
      </c>
      <c r="L79">
        <v>4.95</v>
      </c>
      <c r="M79">
        <v>7.7</v>
      </c>
      <c r="N79">
        <v>0.04</v>
      </c>
      <c r="O79">
        <v>0.14000000000000001</v>
      </c>
      <c r="P79">
        <v>0.08</v>
      </c>
      <c r="Q79">
        <v>0.18</v>
      </c>
      <c r="R79">
        <v>60.012999999999998</v>
      </c>
      <c r="S79">
        <v>0.19800000000000001</v>
      </c>
    </row>
    <row r="80" spans="1:19" x14ac:dyDescent="0.3">
      <c r="A80" t="s">
        <v>18</v>
      </c>
      <c r="B80" s="6">
        <v>0.81496636574074077</v>
      </c>
      <c r="C80">
        <v>5.25</v>
      </c>
      <c r="D80">
        <v>7.3</v>
      </c>
      <c r="E80">
        <v>0.04</v>
      </c>
      <c r="F80">
        <v>0.14000000000000001</v>
      </c>
      <c r="G80">
        <v>0.08</v>
      </c>
      <c r="H80">
        <v>0.18</v>
      </c>
      <c r="I80">
        <v>60</v>
      </c>
      <c r="J80">
        <v>0.21</v>
      </c>
      <c r="L80">
        <v>5.01</v>
      </c>
      <c r="M80">
        <v>7.8</v>
      </c>
      <c r="N80">
        <v>0.04</v>
      </c>
      <c r="O80">
        <v>0.15</v>
      </c>
      <c r="P80">
        <v>0.08</v>
      </c>
      <c r="Q80">
        <v>0.18</v>
      </c>
      <c r="R80">
        <v>60.014000000000003</v>
      </c>
      <c r="S80">
        <v>0.20039999999999999</v>
      </c>
    </row>
    <row r="81" spans="1:19" x14ac:dyDescent="0.3">
      <c r="A81" t="s">
        <v>18</v>
      </c>
      <c r="B81" s="6">
        <v>0.81497793981481481</v>
      </c>
      <c r="C81">
        <v>5.25</v>
      </c>
      <c r="D81">
        <v>7.3</v>
      </c>
      <c r="E81">
        <v>0.04</v>
      </c>
      <c r="F81">
        <v>0.14000000000000001</v>
      </c>
      <c r="G81">
        <v>0.08</v>
      </c>
      <c r="H81">
        <v>0.18</v>
      </c>
      <c r="I81">
        <v>60</v>
      </c>
      <c r="J81">
        <v>0.21</v>
      </c>
      <c r="L81">
        <v>4.88</v>
      </c>
      <c r="M81">
        <v>7.7</v>
      </c>
      <c r="N81">
        <v>0.04</v>
      </c>
      <c r="O81">
        <v>0.15</v>
      </c>
      <c r="P81">
        <v>0.08</v>
      </c>
      <c r="Q81">
        <v>0.18</v>
      </c>
      <c r="R81">
        <v>60.011000000000003</v>
      </c>
      <c r="S81">
        <v>0.19520000000000001</v>
      </c>
    </row>
    <row r="82" spans="1:19" x14ac:dyDescent="0.3">
      <c r="A82" t="s">
        <v>18</v>
      </c>
      <c r="B82" s="6">
        <v>0.81498951388888885</v>
      </c>
      <c r="C82">
        <v>5.25</v>
      </c>
      <c r="D82">
        <v>7.3</v>
      </c>
      <c r="E82">
        <v>0.04</v>
      </c>
      <c r="F82">
        <v>0.14000000000000001</v>
      </c>
      <c r="G82">
        <v>0.08</v>
      </c>
      <c r="H82">
        <v>0.18</v>
      </c>
      <c r="I82">
        <v>60</v>
      </c>
      <c r="J82">
        <v>0.21</v>
      </c>
      <c r="L82">
        <v>5.0999999999999996</v>
      </c>
      <c r="M82">
        <v>7.9</v>
      </c>
      <c r="N82">
        <v>0.04</v>
      </c>
      <c r="O82">
        <v>0.15</v>
      </c>
      <c r="P82">
        <v>0.08</v>
      </c>
      <c r="Q82">
        <v>0.18</v>
      </c>
      <c r="R82">
        <v>60.009</v>
      </c>
      <c r="S82">
        <v>0.20399999999999999</v>
      </c>
    </row>
    <row r="83" spans="1:19" x14ac:dyDescent="0.3">
      <c r="A83" t="s">
        <v>18</v>
      </c>
      <c r="B83" s="6">
        <v>0.815001087962963</v>
      </c>
      <c r="C83">
        <v>5.25</v>
      </c>
      <c r="D83">
        <v>7.3</v>
      </c>
      <c r="E83">
        <v>0.04</v>
      </c>
      <c r="F83">
        <v>0.15</v>
      </c>
      <c r="G83">
        <v>0.08</v>
      </c>
      <c r="H83">
        <v>0.18</v>
      </c>
      <c r="I83">
        <v>60.000999999999998</v>
      </c>
      <c r="J83">
        <v>0.21</v>
      </c>
      <c r="L83">
        <v>4.84</v>
      </c>
      <c r="M83">
        <v>7.8</v>
      </c>
      <c r="N83">
        <v>0.04</v>
      </c>
      <c r="O83">
        <v>0.15</v>
      </c>
      <c r="P83">
        <v>0.08</v>
      </c>
      <c r="Q83">
        <v>0.18</v>
      </c>
      <c r="R83">
        <v>60.008000000000003</v>
      </c>
      <c r="S83">
        <v>0.19359999999999999</v>
      </c>
    </row>
    <row r="84" spans="1:19" x14ac:dyDescent="0.3">
      <c r="A84" t="s">
        <v>18</v>
      </c>
      <c r="B84" s="6">
        <v>0.81501266203703704</v>
      </c>
      <c r="C84">
        <v>5.0599999999999996</v>
      </c>
      <c r="D84">
        <v>7.1</v>
      </c>
      <c r="E84">
        <v>0.04</v>
      </c>
      <c r="F84">
        <v>0.14000000000000001</v>
      </c>
      <c r="G84">
        <v>0.08</v>
      </c>
      <c r="H84">
        <v>0.18</v>
      </c>
      <c r="I84">
        <v>60.000999999999998</v>
      </c>
      <c r="J84">
        <v>0.2024</v>
      </c>
      <c r="L84">
        <v>5.08</v>
      </c>
      <c r="M84">
        <v>7.9</v>
      </c>
      <c r="N84">
        <v>0.04</v>
      </c>
      <c r="O84">
        <v>0.14000000000000001</v>
      </c>
      <c r="P84">
        <v>0.08</v>
      </c>
      <c r="Q84">
        <v>0.18</v>
      </c>
      <c r="R84">
        <v>60.003999999999998</v>
      </c>
      <c r="S84">
        <v>0.20320000000000002</v>
      </c>
    </row>
    <row r="85" spans="1:19" x14ac:dyDescent="0.3">
      <c r="A85" t="s">
        <v>18</v>
      </c>
      <c r="B85" s="6">
        <v>0.81502423611111108</v>
      </c>
      <c r="C85">
        <v>4.76</v>
      </c>
      <c r="D85">
        <v>6.5</v>
      </c>
      <c r="E85">
        <v>0.04</v>
      </c>
      <c r="F85">
        <v>0.14000000000000001</v>
      </c>
      <c r="G85">
        <v>0.08</v>
      </c>
      <c r="H85">
        <v>0.18</v>
      </c>
      <c r="I85">
        <v>60.000999999999998</v>
      </c>
      <c r="J85">
        <v>0.19039999999999999</v>
      </c>
      <c r="L85">
        <v>4.88</v>
      </c>
      <c r="M85">
        <v>7.7</v>
      </c>
      <c r="N85">
        <v>0.04</v>
      </c>
      <c r="O85">
        <v>0.15</v>
      </c>
      <c r="P85">
        <v>0.08</v>
      </c>
      <c r="Q85">
        <v>0.18</v>
      </c>
      <c r="R85">
        <v>60.003</v>
      </c>
      <c r="S85">
        <v>0.19520000000000001</v>
      </c>
    </row>
    <row r="86" spans="1:19" x14ac:dyDescent="0.3">
      <c r="A86" t="s">
        <v>18</v>
      </c>
      <c r="B86" s="6">
        <v>0.81503581018518523</v>
      </c>
      <c r="C86">
        <v>4.76</v>
      </c>
      <c r="D86">
        <v>6.5</v>
      </c>
      <c r="E86">
        <v>0.04</v>
      </c>
      <c r="F86">
        <v>0.14000000000000001</v>
      </c>
      <c r="G86">
        <v>0.08</v>
      </c>
      <c r="H86">
        <v>0.18</v>
      </c>
      <c r="I86">
        <v>60.002000000000002</v>
      </c>
      <c r="J86">
        <v>0.19039999999999999</v>
      </c>
      <c r="L86">
        <v>4.82</v>
      </c>
      <c r="M86">
        <v>7.7</v>
      </c>
      <c r="N86">
        <v>0.04</v>
      </c>
      <c r="O86">
        <v>0.15</v>
      </c>
      <c r="P86">
        <v>0.08</v>
      </c>
      <c r="Q86">
        <v>0.18</v>
      </c>
      <c r="R86">
        <v>60.000999999999998</v>
      </c>
      <c r="S86">
        <v>0.19280000000000003</v>
      </c>
    </row>
    <row r="87" spans="1:19" x14ac:dyDescent="0.3">
      <c r="A87" t="s">
        <v>18</v>
      </c>
      <c r="B87" s="6">
        <v>0.81504738425925927</v>
      </c>
      <c r="C87">
        <v>4.76</v>
      </c>
      <c r="D87">
        <v>6.5</v>
      </c>
      <c r="E87">
        <v>0.04</v>
      </c>
      <c r="F87">
        <v>0.14000000000000001</v>
      </c>
      <c r="G87">
        <v>0.08</v>
      </c>
      <c r="H87">
        <v>0.18</v>
      </c>
      <c r="I87">
        <v>60.003</v>
      </c>
      <c r="J87">
        <v>0.19039999999999999</v>
      </c>
      <c r="L87">
        <v>5.07</v>
      </c>
      <c r="M87">
        <v>7.9</v>
      </c>
      <c r="N87">
        <v>0.04</v>
      </c>
      <c r="O87">
        <v>0.14000000000000001</v>
      </c>
      <c r="P87">
        <v>0.08</v>
      </c>
      <c r="Q87">
        <v>0.18</v>
      </c>
      <c r="R87">
        <v>60</v>
      </c>
      <c r="S87">
        <v>0.20280000000000001</v>
      </c>
    </row>
    <row r="88" spans="1:19" x14ac:dyDescent="0.3">
      <c r="A88" t="s">
        <v>18</v>
      </c>
      <c r="B88" s="6">
        <v>0.81505787037037036</v>
      </c>
      <c r="C88">
        <v>4.76</v>
      </c>
      <c r="D88">
        <v>6.5</v>
      </c>
      <c r="E88">
        <v>0.04</v>
      </c>
      <c r="F88">
        <v>0.14000000000000001</v>
      </c>
      <c r="G88">
        <v>0.1</v>
      </c>
      <c r="H88">
        <v>0.18</v>
      </c>
      <c r="I88">
        <v>60.003</v>
      </c>
      <c r="J88">
        <v>0.19039999999999999</v>
      </c>
      <c r="L88">
        <v>4.7699999999999996</v>
      </c>
      <c r="M88">
        <v>7.7</v>
      </c>
      <c r="N88">
        <v>0.04</v>
      </c>
      <c r="O88">
        <v>0.15</v>
      </c>
      <c r="P88">
        <v>0.08</v>
      </c>
      <c r="Q88">
        <v>0.18</v>
      </c>
      <c r="R88">
        <v>59.999000000000002</v>
      </c>
      <c r="S88">
        <v>0.1908</v>
      </c>
    </row>
    <row r="89" spans="1:19" x14ac:dyDescent="0.3">
      <c r="A89" t="s">
        <v>18</v>
      </c>
      <c r="B89" s="6">
        <v>0.81506944444444451</v>
      </c>
      <c r="C89">
        <v>4.59</v>
      </c>
      <c r="D89">
        <v>6.4</v>
      </c>
      <c r="E89">
        <v>0.04</v>
      </c>
      <c r="F89">
        <v>0.14000000000000001</v>
      </c>
      <c r="G89">
        <v>0.08</v>
      </c>
      <c r="H89">
        <v>0.18</v>
      </c>
      <c r="I89">
        <v>60.003</v>
      </c>
      <c r="J89">
        <v>0.18359999999999999</v>
      </c>
      <c r="L89">
        <v>5.07</v>
      </c>
      <c r="M89">
        <v>7.6</v>
      </c>
      <c r="N89">
        <v>0.04</v>
      </c>
      <c r="O89">
        <v>0.15</v>
      </c>
      <c r="P89">
        <v>0.08</v>
      </c>
      <c r="Q89">
        <v>0.18</v>
      </c>
      <c r="R89">
        <v>60.009</v>
      </c>
      <c r="S89">
        <v>0.20280000000000001</v>
      </c>
    </row>
    <row r="90" spans="1:19" x14ac:dyDescent="0.3">
      <c r="A90" t="s">
        <v>18</v>
      </c>
      <c r="B90" s="6">
        <v>0.81508101851851855</v>
      </c>
      <c r="C90">
        <v>4.3099999999999996</v>
      </c>
      <c r="D90">
        <v>5.9</v>
      </c>
      <c r="E90">
        <v>0.04</v>
      </c>
      <c r="F90">
        <v>0.15</v>
      </c>
      <c r="G90">
        <v>0.08</v>
      </c>
      <c r="H90">
        <v>0.18</v>
      </c>
      <c r="I90">
        <v>60.003</v>
      </c>
      <c r="J90">
        <v>0.1724</v>
      </c>
      <c r="L90">
        <v>4.79</v>
      </c>
      <c r="M90">
        <v>7.3</v>
      </c>
      <c r="N90">
        <v>0.04</v>
      </c>
      <c r="O90">
        <v>0.15</v>
      </c>
      <c r="P90">
        <v>0.08</v>
      </c>
      <c r="Q90">
        <v>0.18</v>
      </c>
      <c r="R90">
        <v>60.012999999999998</v>
      </c>
      <c r="S90">
        <v>0.19159999999999999</v>
      </c>
    </row>
    <row r="91" spans="1:19" x14ac:dyDescent="0.3">
      <c r="A91" t="s">
        <v>18</v>
      </c>
      <c r="B91" s="6">
        <v>0.81509259259259259</v>
      </c>
      <c r="C91">
        <v>4.3099999999999996</v>
      </c>
      <c r="D91">
        <v>5.9</v>
      </c>
      <c r="E91">
        <v>0.04</v>
      </c>
      <c r="F91">
        <v>0.14000000000000001</v>
      </c>
      <c r="G91">
        <v>0.08</v>
      </c>
      <c r="H91">
        <v>0.18</v>
      </c>
      <c r="I91">
        <v>60.003</v>
      </c>
      <c r="J91">
        <v>0.1724</v>
      </c>
      <c r="L91">
        <v>4.92</v>
      </c>
      <c r="M91">
        <v>7.5</v>
      </c>
      <c r="N91">
        <v>0.04</v>
      </c>
      <c r="O91">
        <v>0.14000000000000001</v>
      </c>
      <c r="P91">
        <v>0.08</v>
      </c>
      <c r="Q91">
        <v>0.18</v>
      </c>
      <c r="R91">
        <v>60.011000000000003</v>
      </c>
      <c r="S91">
        <v>0.1968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AF838-2B27-441D-BAC3-5957F1C065E3}">
  <dimension ref="A1:L403"/>
  <sheetViews>
    <sheetView workbookViewId="0">
      <selection activeCell="C6" sqref="C6"/>
    </sheetView>
  </sheetViews>
  <sheetFormatPr defaultRowHeight="14.4" x14ac:dyDescent="0.3"/>
  <cols>
    <col min="1" max="1" width="10.5546875" bestFit="1" customWidth="1"/>
    <col min="2" max="2" width="10.21875" bestFit="1" customWidth="1"/>
    <col min="3" max="3" width="17.109375" bestFit="1" customWidth="1"/>
    <col min="4" max="4" width="16.44140625" bestFit="1" customWidth="1"/>
    <col min="5" max="5" width="21.77734375" bestFit="1" customWidth="1"/>
    <col min="6" max="6" width="21.109375" bestFit="1" customWidth="1"/>
    <col min="7" max="7" width="15.6640625" bestFit="1" customWidth="1"/>
    <col min="8" max="8" width="15" bestFit="1" customWidth="1"/>
    <col min="9" max="9" width="20.33203125" bestFit="1" customWidth="1"/>
    <col min="10" max="10" width="19.77734375" bestFit="1" customWidth="1"/>
    <col min="11" max="11" width="15.77734375" bestFit="1" customWidth="1"/>
    <col min="12" max="12" width="10.77734375" bestFit="1" customWidth="1"/>
  </cols>
  <sheetData>
    <row r="1" spans="1:12" x14ac:dyDescent="0.3">
      <c r="A1" t="s">
        <v>8</v>
      </c>
      <c r="B1" t="s">
        <v>9</v>
      </c>
      <c r="C1" t="s">
        <v>10</v>
      </c>
      <c r="D1" t="s">
        <v>23</v>
      </c>
      <c r="E1" t="s">
        <v>11</v>
      </c>
      <c r="F1" t="s">
        <v>24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</row>
    <row r="2" spans="1:12" x14ac:dyDescent="0.3">
      <c r="A2" s="5" t="s">
        <v>25</v>
      </c>
      <c r="B2" s="6">
        <v>0.79550503472222223</v>
      </c>
      <c r="C2">
        <v>4.71</v>
      </c>
      <c r="D2">
        <v>0.01</v>
      </c>
      <c r="E2">
        <v>6.7</v>
      </c>
      <c r="F2">
        <v>0</v>
      </c>
      <c r="G2">
        <v>0.03</v>
      </c>
      <c r="H2">
        <v>0.14000000000000001</v>
      </c>
      <c r="I2">
        <v>0.08</v>
      </c>
      <c r="J2">
        <v>0.18</v>
      </c>
      <c r="K2">
        <v>60.002000000000002</v>
      </c>
      <c r="L2" s="5" t="s">
        <v>19</v>
      </c>
    </row>
    <row r="3" spans="1:12" x14ac:dyDescent="0.3">
      <c r="A3" s="5" t="s">
        <v>25</v>
      </c>
      <c r="B3" s="6">
        <v>0.79551660879629627</v>
      </c>
      <c r="C3">
        <v>4.66</v>
      </c>
      <c r="D3">
        <v>0.01</v>
      </c>
      <c r="E3">
        <v>6.6</v>
      </c>
      <c r="F3">
        <v>0</v>
      </c>
      <c r="G3">
        <v>0.03</v>
      </c>
      <c r="H3">
        <v>0.14000000000000001</v>
      </c>
      <c r="I3">
        <v>0.08</v>
      </c>
      <c r="J3">
        <v>0.18</v>
      </c>
      <c r="K3">
        <v>60.002000000000002</v>
      </c>
      <c r="L3" s="5" t="s">
        <v>19</v>
      </c>
    </row>
    <row r="4" spans="1:12" x14ac:dyDescent="0.3">
      <c r="A4" s="5" t="s">
        <v>25</v>
      </c>
      <c r="B4" s="6">
        <v>0.79552818287037042</v>
      </c>
      <c r="C4">
        <v>4.6500000000000004</v>
      </c>
      <c r="D4">
        <v>0.01</v>
      </c>
      <c r="E4">
        <v>6.7</v>
      </c>
      <c r="F4">
        <v>0</v>
      </c>
      <c r="G4">
        <v>0.03</v>
      </c>
      <c r="H4">
        <v>0.14000000000000001</v>
      </c>
      <c r="I4">
        <v>0.08</v>
      </c>
      <c r="J4">
        <v>0.18</v>
      </c>
      <c r="K4">
        <v>60.002000000000002</v>
      </c>
      <c r="L4" s="5" t="s">
        <v>19</v>
      </c>
    </row>
    <row r="5" spans="1:12" x14ac:dyDescent="0.3">
      <c r="A5" s="5" t="s">
        <v>25</v>
      </c>
      <c r="B5" s="6">
        <v>0.79553975694444445</v>
      </c>
      <c r="C5">
        <v>4.4800000000000004</v>
      </c>
      <c r="D5">
        <v>0.01</v>
      </c>
      <c r="E5">
        <v>6.5</v>
      </c>
      <c r="F5">
        <v>0</v>
      </c>
      <c r="G5">
        <v>0.03</v>
      </c>
      <c r="H5">
        <v>0.14000000000000001</v>
      </c>
      <c r="I5">
        <v>0.08</v>
      </c>
      <c r="J5">
        <v>0.18</v>
      </c>
      <c r="K5">
        <v>60.002000000000002</v>
      </c>
      <c r="L5" s="5" t="s">
        <v>19</v>
      </c>
    </row>
    <row r="6" spans="1:12" x14ac:dyDescent="0.3">
      <c r="A6" s="5" t="s">
        <v>25</v>
      </c>
      <c r="B6" s="6">
        <v>0.79555133101851849</v>
      </c>
      <c r="C6">
        <v>4.47</v>
      </c>
      <c r="D6">
        <v>0.01</v>
      </c>
      <c r="E6">
        <v>6.4</v>
      </c>
      <c r="F6">
        <v>0</v>
      </c>
      <c r="G6">
        <v>0.03</v>
      </c>
      <c r="H6">
        <v>0.14000000000000001</v>
      </c>
      <c r="I6">
        <v>0.08</v>
      </c>
      <c r="J6">
        <v>0.18</v>
      </c>
      <c r="K6">
        <v>60.002000000000002</v>
      </c>
      <c r="L6" s="5" t="s">
        <v>19</v>
      </c>
    </row>
    <row r="7" spans="1:12" x14ac:dyDescent="0.3">
      <c r="A7" s="5" t="s">
        <v>25</v>
      </c>
      <c r="B7" s="6">
        <v>0.79556290509259264</v>
      </c>
      <c r="C7">
        <v>4.47</v>
      </c>
      <c r="D7">
        <v>0.01</v>
      </c>
      <c r="E7">
        <v>6.4</v>
      </c>
      <c r="F7">
        <v>0</v>
      </c>
      <c r="G7">
        <v>0.03</v>
      </c>
      <c r="H7">
        <v>0.14000000000000001</v>
      </c>
      <c r="I7">
        <v>0.08</v>
      </c>
      <c r="J7">
        <v>0.18</v>
      </c>
      <c r="K7">
        <v>60.002000000000002</v>
      </c>
      <c r="L7" s="5" t="s">
        <v>19</v>
      </c>
    </row>
    <row r="8" spans="1:12" x14ac:dyDescent="0.3">
      <c r="A8" s="5" t="s">
        <v>25</v>
      </c>
      <c r="B8" s="6">
        <v>0.79557447916666668</v>
      </c>
      <c r="C8">
        <v>4.4800000000000004</v>
      </c>
      <c r="D8">
        <v>0.01</v>
      </c>
      <c r="E8">
        <v>6.4</v>
      </c>
      <c r="F8">
        <v>0</v>
      </c>
      <c r="G8">
        <v>0.03</v>
      </c>
      <c r="H8">
        <v>0.14000000000000001</v>
      </c>
      <c r="I8">
        <v>0.08</v>
      </c>
      <c r="J8">
        <v>0.18</v>
      </c>
      <c r="K8">
        <v>60.000999999999998</v>
      </c>
      <c r="L8" s="5" t="s">
        <v>19</v>
      </c>
    </row>
    <row r="9" spans="1:12" x14ac:dyDescent="0.3">
      <c r="A9" s="5" t="s">
        <v>25</v>
      </c>
      <c r="B9" s="6">
        <v>0.79558605324074072</v>
      </c>
      <c r="C9">
        <v>4.4800000000000004</v>
      </c>
      <c r="D9">
        <v>0.01</v>
      </c>
      <c r="E9">
        <v>6.5</v>
      </c>
      <c r="F9">
        <v>0</v>
      </c>
      <c r="G9">
        <v>0.03</v>
      </c>
      <c r="H9">
        <v>0.14000000000000001</v>
      </c>
      <c r="I9">
        <v>0.08</v>
      </c>
      <c r="J9">
        <v>0.18</v>
      </c>
      <c r="K9">
        <v>60.000999999999998</v>
      </c>
      <c r="L9" s="5" t="s">
        <v>19</v>
      </c>
    </row>
    <row r="10" spans="1:12" x14ac:dyDescent="0.3">
      <c r="A10" s="5" t="s">
        <v>25</v>
      </c>
      <c r="B10" s="6">
        <v>0.79559762731481487</v>
      </c>
      <c r="C10">
        <v>4.4800000000000004</v>
      </c>
      <c r="D10">
        <v>0.01</v>
      </c>
      <c r="E10">
        <v>6.4</v>
      </c>
      <c r="F10">
        <v>0</v>
      </c>
      <c r="G10">
        <v>0.03</v>
      </c>
      <c r="H10">
        <v>0.14000000000000001</v>
      </c>
      <c r="I10">
        <v>0.08</v>
      </c>
      <c r="J10">
        <v>0.18</v>
      </c>
      <c r="K10">
        <v>60</v>
      </c>
      <c r="L10" s="5" t="s">
        <v>19</v>
      </c>
    </row>
    <row r="11" spans="1:12" x14ac:dyDescent="0.3">
      <c r="A11" s="5" t="s">
        <v>25</v>
      </c>
      <c r="B11" s="6">
        <v>0.79560920138888891</v>
      </c>
      <c r="C11">
        <v>4.46</v>
      </c>
      <c r="D11">
        <v>0.01</v>
      </c>
      <c r="E11">
        <v>6.4</v>
      </c>
      <c r="F11">
        <v>0</v>
      </c>
      <c r="G11">
        <v>0.03</v>
      </c>
      <c r="H11">
        <v>0.14000000000000001</v>
      </c>
      <c r="I11">
        <v>0.08</v>
      </c>
      <c r="J11">
        <v>0.18</v>
      </c>
      <c r="K11">
        <v>60.000999999999998</v>
      </c>
      <c r="L11" s="5" t="s">
        <v>19</v>
      </c>
    </row>
    <row r="12" spans="1:12" x14ac:dyDescent="0.3">
      <c r="A12" s="5" t="s">
        <v>25</v>
      </c>
      <c r="B12" s="6">
        <v>0.79562077546296295</v>
      </c>
      <c r="C12">
        <v>4.47</v>
      </c>
      <c r="D12">
        <v>0.01</v>
      </c>
      <c r="E12">
        <v>6.4</v>
      </c>
      <c r="F12">
        <v>0</v>
      </c>
      <c r="G12">
        <v>0.03</v>
      </c>
      <c r="H12">
        <v>0.14000000000000001</v>
      </c>
      <c r="I12">
        <v>0.08</v>
      </c>
      <c r="J12">
        <v>0.18</v>
      </c>
      <c r="K12">
        <v>60.009</v>
      </c>
      <c r="L12" s="5" t="s">
        <v>19</v>
      </c>
    </row>
    <row r="13" spans="1:12" x14ac:dyDescent="0.3">
      <c r="A13" s="5" t="s">
        <v>25</v>
      </c>
      <c r="B13" s="6">
        <v>0.79563234953703699</v>
      </c>
      <c r="C13">
        <v>4.49</v>
      </c>
      <c r="D13">
        <v>0.01</v>
      </c>
      <c r="E13">
        <v>6.5</v>
      </c>
      <c r="F13">
        <v>0</v>
      </c>
      <c r="G13">
        <v>0.03</v>
      </c>
      <c r="H13">
        <v>0.14000000000000001</v>
      </c>
      <c r="I13">
        <v>0.08</v>
      </c>
      <c r="J13">
        <v>0.18</v>
      </c>
      <c r="K13">
        <v>60.01</v>
      </c>
      <c r="L13" s="5" t="s">
        <v>19</v>
      </c>
    </row>
    <row r="14" spans="1:12" x14ac:dyDescent="0.3">
      <c r="A14" s="5" t="s">
        <v>25</v>
      </c>
      <c r="B14" s="6">
        <v>0.79564392361111114</v>
      </c>
      <c r="C14">
        <v>4.5</v>
      </c>
      <c r="D14">
        <v>0.01</v>
      </c>
      <c r="E14">
        <v>6.5</v>
      </c>
      <c r="F14">
        <v>0</v>
      </c>
      <c r="G14">
        <v>0.03</v>
      </c>
      <c r="H14">
        <v>0.14000000000000001</v>
      </c>
      <c r="I14">
        <v>0.08</v>
      </c>
      <c r="J14">
        <v>0.18</v>
      </c>
      <c r="K14">
        <v>60.01</v>
      </c>
      <c r="L14" s="5" t="s">
        <v>19</v>
      </c>
    </row>
    <row r="15" spans="1:12" x14ac:dyDescent="0.3">
      <c r="A15" s="5" t="s">
        <v>25</v>
      </c>
      <c r="B15" s="6">
        <v>0.79565549768518518</v>
      </c>
      <c r="C15">
        <v>4.5</v>
      </c>
      <c r="D15">
        <v>0.01</v>
      </c>
      <c r="E15">
        <v>6.5</v>
      </c>
      <c r="F15">
        <v>0</v>
      </c>
      <c r="G15">
        <v>0.03</v>
      </c>
      <c r="H15">
        <v>0.14000000000000001</v>
      </c>
      <c r="I15">
        <v>0.08</v>
      </c>
      <c r="J15">
        <v>0.18</v>
      </c>
      <c r="K15">
        <v>60.009</v>
      </c>
      <c r="L15" s="5" t="s">
        <v>19</v>
      </c>
    </row>
    <row r="16" spans="1:12" x14ac:dyDescent="0.3">
      <c r="A16" s="5" t="s">
        <v>25</v>
      </c>
      <c r="B16" s="6">
        <v>0.79566707175925921</v>
      </c>
      <c r="C16">
        <v>4.5</v>
      </c>
      <c r="D16">
        <v>0.01</v>
      </c>
      <c r="E16">
        <v>6.5</v>
      </c>
      <c r="F16">
        <v>0</v>
      </c>
      <c r="G16">
        <v>0.03</v>
      </c>
      <c r="H16">
        <v>0.14000000000000001</v>
      </c>
      <c r="I16">
        <v>0.08</v>
      </c>
      <c r="J16">
        <v>0.18</v>
      </c>
      <c r="K16">
        <v>60.009</v>
      </c>
      <c r="L16" s="5" t="s">
        <v>19</v>
      </c>
    </row>
    <row r="17" spans="1:12" x14ac:dyDescent="0.3">
      <c r="A17" s="5" t="s">
        <v>25</v>
      </c>
      <c r="B17" s="6">
        <v>0.79567864583333336</v>
      </c>
      <c r="C17">
        <v>4.4800000000000004</v>
      </c>
      <c r="D17">
        <v>0.01</v>
      </c>
      <c r="E17">
        <v>6.4</v>
      </c>
      <c r="F17">
        <v>0</v>
      </c>
      <c r="G17">
        <v>0.03</v>
      </c>
      <c r="H17">
        <v>0.14000000000000001</v>
      </c>
      <c r="I17">
        <v>0.08</v>
      </c>
      <c r="J17">
        <v>0.18</v>
      </c>
      <c r="K17">
        <v>60.008000000000003</v>
      </c>
      <c r="L17" s="5" t="s">
        <v>19</v>
      </c>
    </row>
    <row r="18" spans="1:12" x14ac:dyDescent="0.3">
      <c r="A18" s="5" t="s">
        <v>25</v>
      </c>
      <c r="B18" s="6">
        <v>0.7956902199074074</v>
      </c>
      <c r="C18">
        <v>4.49</v>
      </c>
      <c r="D18">
        <v>0.01</v>
      </c>
      <c r="E18">
        <v>6.5</v>
      </c>
      <c r="F18">
        <v>0</v>
      </c>
      <c r="G18">
        <v>0.03</v>
      </c>
      <c r="H18">
        <v>0.14000000000000001</v>
      </c>
      <c r="I18">
        <v>0.08</v>
      </c>
      <c r="J18">
        <v>0.18</v>
      </c>
      <c r="K18">
        <v>60.008000000000003</v>
      </c>
      <c r="L18" s="5" t="s">
        <v>19</v>
      </c>
    </row>
    <row r="19" spans="1:12" x14ac:dyDescent="0.3">
      <c r="A19" s="5" t="s">
        <v>25</v>
      </c>
      <c r="B19" s="6">
        <v>0.79570179398148144</v>
      </c>
      <c r="C19">
        <v>4.5</v>
      </c>
      <c r="D19">
        <v>0.01</v>
      </c>
      <c r="E19">
        <v>6.5</v>
      </c>
      <c r="F19">
        <v>0</v>
      </c>
      <c r="G19">
        <v>0.03</v>
      </c>
      <c r="H19">
        <v>0.14000000000000001</v>
      </c>
      <c r="I19">
        <v>0.08</v>
      </c>
      <c r="J19">
        <v>0.18</v>
      </c>
      <c r="K19">
        <v>60.006999999999998</v>
      </c>
      <c r="L19" s="5" t="s">
        <v>19</v>
      </c>
    </row>
    <row r="20" spans="1:12" x14ac:dyDescent="0.3">
      <c r="A20" s="5" t="s">
        <v>25</v>
      </c>
      <c r="B20" s="6">
        <v>0.79571336805555559</v>
      </c>
      <c r="C20">
        <v>4.5</v>
      </c>
      <c r="D20">
        <v>0.01</v>
      </c>
      <c r="E20">
        <v>6.5</v>
      </c>
      <c r="F20">
        <v>0</v>
      </c>
      <c r="G20">
        <v>0.03</v>
      </c>
      <c r="H20">
        <v>0.14000000000000001</v>
      </c>
      <c r="I20">
        <v>0.08</v>
      </c>
      <c r="J20">
        <v>0.18</v>
      </c>
      <c r="K20">
        <v>60.006999999999998</v>
      </c>
      <c r="L20" s="5" t="s">
        <v>19</v>
      </c>
    </row>
    <row r="21" spans="1:12" x14ac:dyDescent="0.3">
      <c r="A21" s="5" t="s">
        <v>25</v>
      </c>
      <c r="B21" s="6">
        <v>0.79572494212962963</v>
      </c>
      <c r="C21">
        <v>4.49</v>
      </c>
      <c r="D21">
        <v>0.01</v>
      </c>
      <c r="E21">
        <v>6.5</v>
      </c>
      <c r="F21">
        <v>0</v>
      </c>
      <c r="G21">
        <v>0.03</v>
      </c>
      <c r="H21">
        <v>0.14000000000000001</v>
      </c>
      <c r="I21">
        <v>0.08</v>
      </c>
      <c r="J21">
        <v>0.18</v>
      </c>
      <c r="K21">
        <v>60.006</v>
      </c>
      <c r="L21" s="5" t="s">
        <v>19</v>
      </c>
    </row>
    <row r="22" spans="1:12" x14ac:dyDescent="0.3">
      <c r="A22" s="5" t="s">
        <v>25</v>
      </c>
      <c r="B22" s="6">
        <v>0.79573651620370367</v>
      </c>
      <c r="C22">
        <v>4.49</v>
      </c>
      <c r="D22">
        <v>0.01</v>
      </c>
      <c r="E22">
        <v>6.4</v>
      </c>
      <c r="F22">
        <v>0</v>
      </c>
      <c r="G22">
        <v>0.03</v>
      </c>
      <c r="H22">
        <v>0.14000000000000001</v>
      </c>
      <c r="I22">
        <v>0.08</v>
      </c>
      <c r="J22">
        <v>0.18</v>
      </c>
      <c r="K22">
        <v>60.006</v>
      </c>
      <c r="L22" s="5" t="s">
        <v>19</v>
      </c>
    </row>
    <row r="23" spans="1:12" x14ac:dyDescent="0.3">
      <c r="A23" s="5" t="s">
        <v>25</v>
      </c>
      <c r="B23" s="6">
        <v>0.79574809027777782</v>
      </c>
      <c r="C23">
        <v>4.49</v>
      </c>
      <c r="D23">
        <v>0.01</v>
      </c>
      <c r="E23">
        <v>6.4</v>
      </c>
      <c r="F23">
        <v>0</v>
      </c>
      <c r="G23">
        <v>0.03</v>
      </c>
      <c r="H23">
        <v>0.14000000000000001</v>
      </c>
      <c r="I23">
        <v>0.08</v>
      </c>
      <c r="J23">
        <v>0.18</v>
      </c>
      <c r="K23">
        <v>60.006</v>
      </c>
      <c r="L23" s="5" t="s">
        <v>19</v>
      </c>
    </row>
    <row r="24" spans="1:12" x14ac:dyDescent="0.3">
      <c r="A24" s="5" t="s">
        <v>25</v>
      </c>
      <c r="B24" s="6">
        <v>0.79575966435185186</v>
      </c>
      <c r="C24">
        <v>4.49</v>
      </c>
      <c r="D24">
        <v>0.01</v>
      </c>
      <c r="E24">
        <v>6.4</v>
      </c>
      <c r="F24">
        <v>0</v>
      </c>
      <c r="G24">
        <v>0.03</v>
      </c>
      <c r="H24">
        <v>0.14000000000000001</v>
      </c>
      <c r="I24">
        <v>0.08</v>
      </c>
      <c r="J24">
        <v>0.18</v>
      </c>
      <c r="K24">
        <v>60.006</v>
      </c>
      <c r="L24" s="5" t="s">
        <v>19</v>
      </c>
    </row>
    <row r="25" spans="1:12" x14ac:dyDescent="0.3">
      <c r="A25" s="5" t="s">
        <v>25</v>
      </c>
      <c r="B25" s="6">
        <v>0.7957712384259259</v>
      </c>
      <c r="C25">
        <v>4.5</v>
      </c>
      <c r="D25">
        <v>0.01</v>
      </c>
      <c r="E25">
        <v>6.5</v>
      </c>
      <c r="F25">
        <v>0</v>
      </c>
      <c r="G25">
        <v>0.03</v>
      </c>
      <c r="H25">
        <v>0.14000000000000001</v>
      </c>
      <c r="I25">
        <v>0.08</v>
      </c>
      <c r="J25">
        <v>0.18</v>
      </c>
      <c r="K25">
        <v>60.006999999999998</v>
      </c>
      <c r="L25" s="5" t="s">
        <v>19</v>
      </c>
    </row>
    <row r="26" spans="1:12" x14ac:dyDescent="0.3">
      <c r="A26" s="5" t="s">
        <v>25</v>
      </c>
      <c r="B26" s="6">
        <v>0.79578281250000005</v>
      </c>
      <c r="C26">
        <v>4.51</v>
      </c>
      <c r="D26">
        <v>0.01</v>
      </c>
      <c r="E26">
        <v>6.5</v>
      </c>
      <c r="F26">
        <v>0</v>
      </c>
      <c r="G26">
        <v>0.03</v>
      </c>
      <c r="H26">
        <v>0.14000000000000001</v>
      </c>
      <c r="I26">
        <v>0.08</v>
      </c>
      <c r="J26">
        <v>0.18</v>
      </c>
      <c r="K26">
        <v>60.006999999999998</v>
      </c>
      <c r="L26" s="5" t="s">
        <v>19</v>
      </c>
    </row>
    <row r="27" spans="1:12" x14ac:dyDescent="0.3">
      <c r="A27" s="5" t="s">
        <v>25</v>
      </c>
      <c r="B27" s="6">
        <v>0.79579438657407409</v>
      </c>
      <c r="C27">
        <v>4.51</v>
      </c>
      <c r="D27">
        <v>0.01</v>
      </c>
      <c r="E27">
        <v>6.5</v>
      </c>
      <c r="F27">
        <v>0</v>
      </c>
      <c r="G27">
        <v>0.03</v>
      </c>
      <c r="H27">
        <v>0.14000000000000001</v>
      </c>
      <c r="I27">
        <v>0.08</v>
      </c>
      <c r="J27">
        <v>0.18</v>
      </c>
      <c r="K27">
        <v>60.008000000000003</v>
      </c>
      <c r="L27" s="5" t="s">
        <v>19</v>
      </c>
    </row>
    <row r="28" spans="1:12" x14ac:dyDescent="0.3">
      <c r="A28" s="5" t="s">
        <v>25</v>
      </c>
      <c r="B28" s="6">
        <v>0.79580596064814813</v>
      </c>
      <c r="C28">
        <v>4.51</v>
      </c>
      <c r="D28">
        <v>0.01</v>
      </c>
      <c r="E28">
        <v>6.5</v>
      </c>
      <c r="F28">
        <v>0</v>
      </c>
      <c r="G28">
        <v>0.03</v>
      </c>
      <c r="H28">
        <v>0.14000000000000001</v>
      </c>
      <c r="I28">
        <v>0.08</v>
      </c>
      <c r="J28">
        <v>0.18</v>
      </c>
      <c r="K28">
        <v>60.009</v>
      </c>
      <c r="L28" s="5" t="s">
        <v>19</v>
      </c>
    </row>
    <row r="29" spans="1:12" x14ac:dyDescent="0.3">
      <c r="A29" s="5" t="s">
        <v>25</v>
      </c>
      <c r="B29" s="6">
        <v>0.79581753472222228</v>
      </c>
      <c r="C29">
        <v>4.5</v>
      </c>
      <c r="D29">
        <v>0.01</v>
      </c>
      <c r="E29">
        <v>6.5</v>
      </c>
      <c r="F29">
        <v>0</v>
      </c>
      <c r="G29">
        <v>0.03</v>
      </c>
      <c r="H29">
        <v>0.14000000000000001</v>
      </c>
      <c r="I29">
        <v>0.08</v>
      </c>
      <c r="J29">
        <v>0.18</v>
      </c>
      <c r="K29">
        <v>60.01</v>
      </c>
      <c r="L29" s="5" t="s">
        <v>19</v>
      </c>
    </row>
    <row r="30" spans="1:12" x14ac:dyDescent="0.3">
      <c r="A30" s="5" t="s">
        <v>25</v>
      </c>
      <c r="B30" s="6">
        <v>0.79582910879629631</v>
      </c>
      <c r="C30">
        <v>4.5</v>
      </c>
      <c r="D30">
        <v>0.01</v>
      </c>
      <c r="E30">
        <v>6.5</v>
      </c>
      <c r="F30">
        <v>0</v>
      </c>
      <c r="G30">
        <v>0.03</v>
      </c>
      <c r="H30">
        <v>0.14000000000000001</v>
      </c>
      <c r="I30">
        <v>0.08</v>
      </c>
      <c r="J30">
        <v>0.18</v>
      </c>
      <c r="K30">
        <v>60.012</v>
      </c>
      <c r="L30" s="5" t="s">
        <v>19</v>
      </c>
    </row>
    <row r="31" spans="1:12" x14ac:dyDescent="0.3">
      <c r="A31" s="5" t="s">
        <v>25</v>
      </c>
      <c r="B31" s="6">
        <v>0.79584068287037035</v>
      </c>
      <c r="C31">
        <v>4.5</v>
      </c>
      <c r="D31">
        <v>0.01</v>
      </c>
      <c r="E31">
        <v>6.5</v>
      </c>
      <c r="F31">
        <v>0</v>
      </c>
      <c r="G31">
        <v>0.03</v>
      </c>
      <c r="H31">
        <v>0.14000000000000001</v>
      </c>
      <c r="I31">
        <v>0.08</v>
      </c>
      <c r="J31">
        <v>0.18</v>
      </c>
      <c r="K31">
        <v>60.012999999999998</v>
      </c>
      <c r="L31" s="5" t="s">
        <v>19</v>
      </c>
    </row>
    <row r="32" spans="1:12" x14ac:dyDescent="0.3">
      <c r="A32" s="5" t="s">
        <v>25</v>
      </c>
      <c r="B32" s="6">
        <v>0.79585225694444439</v>
      </c>
      <c r="C32">
        <v>4.5</v>
      </c>
      <c r="D32">
        <v>0.01</v>
      </c>
      <c r="E32">
        <v>6.5</v>
      </c>
      <c r="F32">
        <v>0</v>
      </c>
      <c r="G32">
        <v>0.03</v>
      </c>
      <c r="H32">
        <v>0.14000000000000001</v>
      </c>
      <c r="I32">
        <v>0.08</v>
      </c>
      <c r="J32">
        <v>0.18</v>
      </c>
      <c r="K32">
        <v>60.014000000000003</v>
      </c>
      <c r="L32" s="5" t="s">
        <v>19</v>
      </c>
    </row>
    <row r="33" spans="1:12" x14ac:dyDescent="0.3">
      <c r="A33" s="5" t="s">
        <v>25</v>
      </c>
      <c r="B33" s="6">
        <v>0.79586383101851854</v>
      </c>
      <c r="C33">
        <v>4.49</v>
      </c>
      <c r="D33">
        <v>0.01</v>
      </c>
      <c r="E33">
        <v>6.5</v>
      </c>
      <c r="F33">
        <v>0</v>
      </c>
      <c r="G33">
        <v>0.03</v>
      </c>
      <c r="H33">
        <v>0.14000000000000001</v>
      </c>
      <c r="I33">
        <v>0.08</v>
      </c>
      <c r="J33">
        <v>0.18</v>
      </c>
      <c r="K33">
        <v>60.015000000000001</v>
      </c>
      <c r="L33" s="5" t="s">
        <v>19</v>
      </c>
    </row>
    <row r="34" spans="1:12" x14ac:dyDescent="0.3">
      <c r="A34" s="5" t="s">
        <v>25</v>
      </c>
      <c r="B34" s="6">
        <v>0.79587540509259258</v>
      </c>
      <c r="C34">
        <v>4.49</v>
      </c>
      <c r="D34">
        <v>0.01</v>
      </c>
      <c r="E34">
        <v>6.5</v>
      </c>
      <c r="F34">
        <v>0</v>
      </c>
      <c r="G34">
        <v>0.03</v>
      </c>
      <c r="H34">
        <v>0.14000000000000001</v>
      </c>
      <c r="I34">
        <v>0.08</v>
      </c>
      <c r="J34">
        <v>0.18</v>
      </c>
      <c r="K34">
        <v>60.015999999999998</v>
      </c>
      <c r="L34" s="5" t="s">
        <v>19</v>
      </c>
    </row>
    <row r="35" spans="1:12" x14ac:dyDescent="0.3">
      <c r="A35" s="5" t="s">
        <v>25</v>
      </c>
      <c r="B35" s="6">
        <v>0.79588697916666662</v>
      </c>
      <c r="C35">
        <v>4.5</v>
      </c>
      <c r="D35">
        <v>0.01</v>
      </c>
      <c r="E35">
        <v>6.5</v>
      </c>
      <c r="F35">
        <v>0</v>
      </c>
      <c r="G35">
        <v>0.03</v>
      </c>
      <c r="H35">
        <v>0.14000000000000001</v>
      </c>
      <c r="I35">
        <v>0.08</v>
      </c>
      <c r="J35">
        <v>0.18</v>
      </c>
      <c r="K35">
        <v>60.015999999999998</v>
      </c>
      <c r="L35" s="5" t="s">
        <v>19</v>
      </c>
    </row>
    <row r="36" spans="1:12" x14ac:dyDescent="0.3">
      <c r="A36" s="5" t="s">
        <v>25</v>
      </c>
      <c r="B36" s="6">
        <v>0.79589855324074077</v>
      </c>
      <c r="C36">
        <v>4.51</v>
      </c>
      <c r="D36">
        <v>0.01</v>
      </c>
      <c r="E36">
        <v>6.5</v>
      </c>
      <c r="F36">
        <v>0</v>
      </c>
      <c r="G36">
        <v>0.03</v>
      </c>
      <c r="H36">
        <v>0.14000000000000001</v>
      </c>
      <c r="I36">
        <v>0.08</v>
      </c>
      <c r="J36">
        <v>0.18</v>
      </c>
      <c r="K36">
        <v>60.017000000000003</v>
      </c>
      <c r="L36" s="5" t="s">
        <v>19</v>
      </c>
    </row>
    <row r="37" spans="1:12" x14ac:dyDescent="0.3">
      <c r="A37" s="5" t="s">
        <v>25</v>
      </c>
      <c r="B37" s="6">
        <v>0.79591012731481481</v>
      </c>
      <c r="C37">
        <v>4.55</v>
      </c>
      <c r="D37">
        <v>0.01</v>
      </c>
      <c r="E37">
        <v>6.5</v>
      </c>
      <c r="F37">
        <v>0</v>
      </c>
      <c r="G37">
        <v>0.03</v>
      </c>
      <c r="H37">
        <v>0.14000000000000001</v>
      </c>
      <c r="I37">
        <v>0.08</v>
      </c>
      <c r="J37">
        <v>0.18</v>
      </c>
      <c r="K37">
        <v>60.017000000000003</v>
      </c>
      <c r="L37" s="5" t="s">
        <v>19</v>
      </c>
    </row>
    <row r="38" spans="1:12" x14ac:dyDescent="0.3">
      <c r="A38" s="5" t="s">
        <v>25</v>
      </c>
      <c r="B38" s="6">
        <v>0.79592170138888885</v>
      </c>
      <c r="C38">
        <v>4.58</v>
      </c>
      <c r="D38">
        <v>0.01</v>
      </c>
      <c r="E38">
        <v>6.6</v>
      </c>
      <c r="F38">
        <v>0</v>
      </c>
      <c r="G38">
        <v>0.03</v>
      </c>
      <c r="H38">
        <v>0.14000000000000001</v>
      </c>
      <c r="I38">
        <v>0.08</v>
      </c>
      <c r="J38">
        <v>0.18</v>
      </c>
      <c r="K38">
        <v>60.017000000000003</v>
      </c>
      <c r="L38" s="5" t="s">
        <v>19</v>
      </c>
    </row>
    <row r="39" spans="1:12" x14ac:dyDescent="0.3">
      <c r="A39" s="5" t="s">
        <v>25</v>
      </c>
      <c r="B39" s="6">
        <v>0.795933275462963</v>
      </c>
      <c r="C39">
        <v>4.59</v>
      </c>
      <c r="D39">
        <v>0.01</v>
      </c>
      <c r="E39">
        <v>6.6</v>
      </c>
      <c r="F39">
        <v>0</v>
      </c>
      <c r="G39">
        <v>0.03</v>
      </c>
      <c r="H39">
        <v>0.14000000000000001</v>
      </c>
      <c r="I39">
        <v>0.08</v>
      </c>
      <c r="J39">
        <v>0.18</v>
      </c>
      <c r="K39">
        <v>60.017000000000003</v>
      </c>
      <c r="L39" s="5" t="s">
        <v>19</v>
      </c>
    </row>
    <row r="40" spans="1:12" x14ac:dyDescent="0.3">
      <c r="A40" s="5" t="s">
        <v>25</v>
      </c>
      <c r="B40" s="6">
        <v>0.79594484953703704</v>
      </c>
      <c r="C40">
        <v>4.62</v>
      </c>
      <c r="D40">
        <v>0.01</v>
      </c>
      <c r="E40">
        <v>6.6</v>
      </c>
      <c r="F40">
        <v>0</v>
      </c>
      <c r="G40">
        <v>0.03</v>
      </c>
      <c r="H40">
        <v>0.14000000000000001</v>
      </c>
      <c r="I40">
        <v>0.08</v>
      </c>
      <c r="J40">
        <v>0.18</v>
      </c>
      <c r="K40">
        <v>60.017000000000003</v>
      </c>
      <c r="L40" s="5" t="s">
        <v>19</v>
      </c>
    </row>
    <row r="41" spans="1:12" x14ac:dyDescent="0.3">
      <c r="A41" s="5" t="s">
        <v>25</v>
      </c>
      <c r="B41" s="6">
        <v>0.79595642361111107</v>
      </c>
      <c r="C41">
        <v>4.62</v>
      </c>
      <c r="D41">
        <v>0.01</v>
      </c>
      <c r="E41">
        <v>6.6</v>
      </c>
      <c r="F41">
        <v>0</v>
      </c>
      <c r="G41">
        <v>0.03</v>
      </c>
      <c r="H41">
        <v>0.14000000000000001</v>
      </c>
      <c r="I41">
        <v>0.08</v>
      </c>
      <c r="J41">
        <v>0.18</v>
      </c>
      <c r="K41">
        <v>60.015999999999998</v>
      </c>
      <c r="L41" s="5" t="s">
        <v>19</v>
      </c>
    </row>
    <row r="42" spans="1:12" x14ac:dyDescent="0.3">
      <c r="A42" s="5" t="s">
        <v>25</v>
      </c>
      <c r="B42" s="6">
        <v>0.79596799768518522</v>
      </c>
      <c r="C42">
        <v>4.62</v>
      </c>
      <c r="D42">
        <v>0.01</v>
      </c>
      <c r="E42">
        <v>6.6</v>
      </c>
      <c r="F42">
        <v>0</v>
      </c>
      <c r="G42">
        <v>0.03</v>
      </c>
      <c r="H42">
        <v>0.14000000000000001</v>
      </c>
      <c r="I42">
        <v>0.08</v>
      </c>
      <c r="J42">
        <v>0.18</v>
      </c>
      <c r="K42">
        <v>60.015999999999998</v>
      </c>
      <c r="L42" s="5" t="s">
        <v>19</v>
      </c>
    </row>
    <row r="43" spans="1:12" x14ac:dyDescent="0.3">
      <c r="A43" s="5" t="s">
        <v>25</v>
      </c>
      <c r="B43" s="6">
        <v>0.79597957175925926</v>
      </c>
      <c r="C43">
        <v>4.62</v>
      </c>
      <c r="D43">
        <v>0.01</v>
      </c>
      <c r="E43">
        <v>6.6</v>
      </c>
      <c r="F43">
        <v>0</v>
      </c>
      <c r="G43">
        <v>0.03</v>
      </c>
      <c r="H43">
        <v>0.14000000000000001</v>
      </c>
      <c r="I43">
        <v>0.08</v>
      </c>
      <c r="J43">
        <v>0.18</v>
      </c>
      <c r="K43">
        <v>60.015000000000001</v>
      </c>
      <c r="L43" s="5" t="s">
        <v>19</v>
      </c>
    </row>
    <row r="44" spans="1:12" x14ac:dyDescent="0.3">
      <c r="A44" s="5" t="s">
        <v>25</v>
      </c>
      <c r="B44" s="6">
        <v>0.7959911458333333</v>
      </c>
      <c r="C44">
        <v>4.6100000000000003</v>
      </c>
      <c r="D44">
        <v>0.01</v>
      </c>
      <c r="E44">
        <v>6.6</v>
      </c>
      <c r="F44">
        <v>0</v>
      </c>
      <c r="G44">
        <v>0.03</v>
      </c>
      <c r="H44">
        <v>0.14000000000000001</v>
      </c>
      <c r="I44">
        <v>0.08</v>
      </c>
      <c r="J44">
        <v>0.18</v>
      </c>
      <c r="K44">
        <v>60.015000000000001</v>
      </c>
      <c r="L44" s="5" t="s">
        <v>19</v>
      </c>
    </row>
    <row r="45" spans="1:12" x14ac:dyDescent="0.3">
      <c r="A45" s="5" t="s">
        <v>25</v>
      </c>
      <c r="B45" s="6">
        <v>0.79600271990740745</v>
      </c>
      <c r="C45">
        <v>4.6100000000000003</v>
      </c>
      <c r="D45">
        <v>0.01</v>
      </c>
      <c r="E45">
        <v>6.6</v>
      </c>
      <c r="F45">
        <v>0</v>
      </c>
      <c r="G45">
        <v>0.03</v>
      </c>
      <c r="H45">
        <v>0.14000000000000001</v>
      </c>
      <c r="I45">
        <v>0.08</v>
      </c>
      <c r="J45">
        <v>0.18</v>
      </c>
      <c r="K45">
        <v>60.014000000000003</v>
      </c>
      <c r="L45" s="5" t="s">
        <v>19</v>
      </c>
    </row>
    <row r="46" spans="1:12" x14ac:dyDescent="0.3">
      <c r="A46" s="5" t="s">
        <v>25</v>
      </c>
      <c r="B46" s="6">
        <v>0.79601429398148149</v>
      </c>
      <c r="C46">
        <v>4.5999999999999996</v>
      </c>
      <c r="D46">
        <v>0.01</v>
      </c>
      <c r="E46">
        <v>6.6</v>
      </c>
      <c r="F46">
        <v>0</v>
      </c>
      <c r="G46">
        <v>0.03</v>
      </c>
      <c r="H46">
        <v>0.14000000000000001</v>
      </c>
      <c r="I46">
        <v>0.08</v>
      </c>
      <c r="J46">
        <v>0.18</v>
      </c>
      <c r="K46">
        <v>60.014000000000003</v>
      </c>
      <c r="L46" s="5" t="s">
        <v>19</v>
      </c>
    </row>
    <row r="47" spans="1:12" x14ac:dyDescent="0.3">
      <c r="A47" s="5" t="s">
        <v>25</v>
      </c>
      <c r="B47" s="6">
        <v>0.79602586805555553</v>
      </c>
      <c r="C47">
        <v>4.5999999999999996</v>
      </c>
      <c r="D47">
        <v>0.01</v>
      </c>
      <c r="E47">
        <v>6.6</v>
      </c>
      <c r="F47">
        <v>0</v>
      </c>
      <c r="G47">
        <v>0.03</v>
      </c>
      <c r="H47">
        <v>0.14000000000000001</v>
      </c>
      <c r="I47">
        <v>0.08</v>
      </c>
      <c r="J47">
        <v>0.18</v>
      </c>
      <c r="K47">
        <v>60.012999999999998</v>
      </c>
      <c r="L47" s="5" t="s">
        <v>19</v>
      </c>
    </row>
    <row r="48" spans="1:12" x14ac:dyDescent="0.3">
      <c r="A48" s="5" t="s">
        <v>25</v>
      </c>
      <c r="B48" s="6">
        <v>0.79603744212962968</v>
      </c>
      <c r="C48">
        <v>4.5999999999999996</v>
      </c>
      <c r="D48">
        <v>0.01</v>
      </c>
      <c r="E48">
        <v>6.6</v>
      </c>
      <c r="F48">
        <v>0</v>
      </c>
      <c r="G48">
        <v>0.03</v>
      </c>
      <c r="H48">
        <v>0.14000000000000001</v>
      </c>
      <c r="I48">
        <v>0.08</v>
      </c>
      <c r="J48">
        <v>0.18</v>
      </c>
      <c r="K48">
        <v>60.012999999999998</v>
      </c>
      <c r="L48" s="5" t="s">
        <v>19</v>
      </c>
    </row>
    <row r="49" spans="1:12" x14ac:dyDescent="0.3">
      <c r="A49" s="5" t="s">
        <v>25</v>
      </c>
      <c r="B49" s="6">
        <v>0.79604901620370372</v>
      </c>
      <c r="C49">
        <v>4.59</v>
      </c>
      <c r="D49">
        <v>0.01</v>
      </c>
      <c r="E49">
        <v>6.6</v>
      </c>
      <c r="F49">
        <v>0</v>
      </c>
      <c r="G49">
        <v>0.03</v>
      </c>
      <c r="H49">
        <v>0.14000000000000001</v>
      </c>
      <c r="I49">
        <v>0.08</v>
      </c>
      <c r="J49">
        <v>0.18</v>
      </c>
      <c r="K49">
        <v>60.012</v>
      </c>
      <c r="L49" s="5" t="s">
        <v>19</v>
      </c>
    </row>
    <row r="50" spans="1:12" x14ac:dyDescent="0.3">
      <c r="A50" s="5" t="s">
        <v>25</v>
      </c>
      <c r="B50" s="6">
        <v>0.79606059027777776</v>
      </c>
      <c r="C50">
        <v>4.5599999999999996</v>
      </c>
      <c r="D50">
        <v>0.01</v>
      </c>
      <c r="E50">
        <v>6.5</v>
      </c>
      <c r="F50">
        <v>0</v>
      </c>
      <c r="G50">
        <v>0.03</v>
      </c>
      <c r="H50">
        <v>0.14000000000000001</v>
      </c>
      <c r="I50">
        <v>0.08</v>
      </c>
      <c r="J50">
        <v>0.18</v>
      </c>
      <c r="K50">
        <v>60.012</v>
      </c>
      <c r="L50" s="5" t="s">
        <v>19</v>
      </c>
    </row>
    <row r="51" spans="1:12" x14ac:dyDescent="0.3">
      <c r="A51" s="5" t="s">
        <v>25</v>
      </c>
      <c r="B51" s="6">
        <v>0.7960721643518518</v>
      </c>
      <c r="C51">
        <v>4.58</v>
      </c>
      <c r="D51">
        <v>0.01</v>
      </c>
      <c r="E51">
        <v>6.5</v>
      </c>
      <c r="F51">
        <v>0</v>
      </c>
      <c r="G51">
        <v>0.03</v>
      </c>
      <c r="H51">
        <v>0.14000000000000001</v>
      </c>
      <c r="I51">
        <v>0.08</v>
      </c>
      <c r="J51">
        <v>0.18</v>
      </c>
      <c r="K51">
        <v>60.012</v>
      </c>
      <c r="L51" s="5" t="s">
        <v>19</v>
      </c>
    </row>
    <row r="52" spans="1:12" x14ac:dyDescent="0.3">
      <c r="A52" s="5" t="s">
        <v>25</v>
      </c>
      <c r="B52" s="6">
        <v>0.79608373842592595</v>
      </c>
      <c r="C52">
        <v>4.58</v>
      </c>
      <c r="D52">
        <v>0.01</v>
      </c>
      <c r="E52">
        <v>6.5</v>
      </c>
      <c r="F52">
        <v>0</v>
      </c>
      <c r="G52">
        <v>0.03</v>
      </c>
      <c r="H52">
        <v>0.14000000000000001</v>
      </c>
      <c r="I52">
        <v>0.08</v>
      </c>
      <c r="J52">
        <v>0.18</v>
      </c>
      <c r="K52">
        <v>60.012999999999998</v>
      </c>
      <c r="L52" s="5" t="s">
        <v>19</v>
      </c>
    </row>
    <row r="53" spans="1:12" x14ac:dyDescent="0.3">
      <c r="A53" s="5" t="s">
        <v>25</v>
      </c>
      <c r="B53" s="6">
        <v>0.79609531249999999</v>
      </c>
      <c r="C53">
        <v>4.59</v>
      </c>
      <c r="D53">
        <v>0.01</v>
      </c>
      <c r="E53">
        <v>6.6</v>
      </c>
      <c r="F53">
        <v>0</v>
      </c>
      <c r="G53">
        <v>0.03</v>
      </c>
      <c r="H53">
        <v>0.14000000000000001</v>
      </c>
      <c r="I53">
        <v>0.08</v>
      </c>
      <c r="J53">
        <v>0.18</v>
      </c>
      <c r="K53">
        <v>60.012999999999998</v>
      </c>
      <c r="L53" s="5" t="s">
        <v>19</v>
      </c>
    </row>
    <row r="54" spans="1:12" x14ac:dyDescent="0.3">
      <c r="A54" s="5" t="s">
        <v>25</v>
      </c>
      <c r="B54" s="6">
        <v>0.79610688657407402</v>
      </c>
      <c r="C54">
        <v>4.59</v>
      </c>
      <c r="D54">
        <v>0.01</v>
      </c>
      <c r="E54">
        <v>6.6</v>
      </c>
      <c r="F54">
        <v>0</v>
      </c>
      <c r="G54">
        <v>0.03</v>
      </c>
      <c r="H54">
        <v>0.14000000000000001</v>
      </c>
      <c r="I54">
        <v>0.08</v>
      </c>
      <c r="J54">
        <v>0.18</v>
      </c>
      <c r="K54">
        <v>60.012999999999998</v>
      </c>
      <c r="L54" s="5" t="s">
        <v>19</v>
      </c>
    </row>
    <row r="55" spans="1:12" x14ac:dyDescent="0.3">
      <c r="A55" s="5" t="s">
        <v>25</v>
      </c>
      <c r="B55" s="6">
        <v>0.79611846064814817</v>
      </c>
      <c r="C55">
        <v>4.62</v>
      </c>
      <c r="D55">
        <v>0.01</v>
      </c>
      <c r="E55">
        <v>6.6</v>
      </c>
      <c r="F55">
        <v>0</v>
      </c>
      <c r="G55">
        <v>0.03</v>
      </c>
      <c r="H55">
        <v>0.14000000000000001</v>
      </c>
      <c r="I55">
        <v>0.08</v>
      </c>
      <c r="J55">
        <v>0.18</v>
      </c>
      <c r="K55">
        <v>60.014000000000003</v>
      </c>
      <c r="L55" s="5" t="s">
        <v>19</v>
      </c>
    </row>
    <row r="56" spans="1:12" x14ac:dyDescent="0.3">
      <c r="A56" s="5" t="s">
        <v>25</v>
      </c>
      <c r="B56" s="6">
        <v>0.79613003472222221</v>
      </c>
      <c r="C56">
        <v>4.63</v>
      </c>
      <c r="D56">
        <v>0.01</v>
      </c>
      <c r="E56">
        <v>6.6</v>
      </c>
      <c r="F56">
        <v>0</v>
      </c>
      <c r="G56">
        <v>0.03</v>
      </c>
      <c r="H56">
        <v>0.14000000000000001</v>
      </c>
      <c r="I56">
        <v>0.08</v>
      </c>
      <c r="J56">
        <v>0.18</v>
      </c>
      <c r="K56">
        <v>60.014000000000003</v>
      </c>
      <c r="L56" s="5" t="s">
        <v>19</v>
      </c>
    </row>
    <row r="57" spans="1:12" x14ac:dyDescent="0.3">
      <c r="A57" s="5" t="s">
        <v>25</v>
      </c>
      <c r="B57" s="6">
        <v>0.79614160879629625</v>
      </c>
      <c r="C57">
        <v>4.6399999999999997</v>
      </c>
      <c r="D57">
        <v>0.01</v>
      </c>
      <c r="E57">
        <v>6.6</v>
      </c>
      <c r="F57">
        <v>0</v>
      </c>
      <c r="G57">
        <v>0.03</v>
      </c>
      <c r="H57">
        <v>0.14000000000000001</v>
      </c>
      <c r="I57">
        <v>0.08</v>
      </c>
      <c r="J57">
        <v>0.18</v>
      </c>
      <c r="K57">
        <v>60.014000000000003</v>
      </c>
      <c r="L57" s="5" t="s">
        <v>19</v>
      </c>
    </row>
    <row r="58" spans="1:12" x14ac:dyDescent="0.3">
      <c r="A58" s="5" t="s">
        <v>25</v>
      </c>
      <c r="B58" s="6">
        <v>0.7961531828703704</v>
      </c>
      <c r="C58">
        <v>4.62</v>
      </c>
      <c r="D58">
        <v>0.01</v>
      </c>
      <c r="E58">
        <v>6.6</v>
      </c>
      <c r="F58">
        <v>0</v>
      </c>
      <c r="G58">
        <v>0.03</v>
      </c>
      <c r="H58">
        <v>0.14000000000000001</v>
      </c>
      <c r="I58">
        <v>0.08</v>
      </c>
      <c r="J58">
        <v>0.18</v>
      </c>
      <c r="K58">
        <v>60.014000000000003</v>
      </c>
      <c r="L58" s="5" t="s">
        <v>19</v>
      </c>
    </row>
    <row r="59" spans="1:12" x14ac:dyDescent="0.3">
      <c r="A59" s="5" t="s">
        <v>25</v>
      </c>
      <c r="B59" s="6">
        <v>0.79616475694444444</v>
      </c>
      <c r="C59">
        <v>4.62</v>
      </c>
      <c r="D59">
        <v>0.01</v>
      </c>
      <c r="E59">
        <v>6.6</v>
      </c>
      <c r="F59">
        <v>0</v>
      </c>
      <c r="G59">
        <v>0.03</v>
      </c>
      <c r="H59">
        <v>0.14000000000000001</v>
      </c>
      <c r="I59">
        <v>0.08</v>
      </c>
      <c r="J59">
        <v>0.18</v>
      </c>
      <c r="K59">
        <v>60.015000000000001</v>
      </c>
      <c r="L59" s="5" t="s">
        <v>19</v>
      </c>
    </row>
    <row r="60" spans="1:12" x14ac:dyDescent="0.3">
      <c r="A60" s="5" t="s">
        <v>25</v>
      </c>
      <c r="B60" s="6">
        <v>0.79617633101851848</v>
      </c>
      <c r="C60">
        <v>4.6100000000000003</v>
      </c>
      <c r="D60">
        <v>0.01</v>
      </c>
      <c r="E60">
        <v>6.6</v>
      </c>
      <c r="F60">
        <v>0</v>
      </c>
      <c r="G60">
        <v>0.03</v>
      </c>
      <c r="H60">
        <v>0.14000000000000001</v>
      </c>
      <c r="I60">
        <v>0.08</v>
      </c>
      <c r="J60">
        <v>0.18</v>
      </c>
      <c r="K60">
        <v>60.015000000000001</v>
      </c>
      <c r="L60" s="5" t="s">
        <v>19</v>
      </c>
    </row>
    <row r="61" spans="1:12" x14ac:dyDescent="0.3">
      <c r="A61" s="5" t="s">
        <v>25</v>
      </c>
      <c r="B61" s="6">
        <v>0.79618790509259263</v>
      </c>
      <c r="C61">
        <v>4.67</v>
      </c>
      <c r="D61">
        <v>0.01</v>
      </c>
      <c r="E61">
        <v>6.9</v>
      </c>
      <c r="F61">
        <v>0</v>
      </c>
      <c r="G61">
        <v>0.03</v>
      </c>
      <c r="H61">
        <v>0.14000000000000001</v>
      </c>
      <c r="I61">
        <v>0.08</v>
      </c>
      <c r="J61">
        <v>0.18</v>
      </c>
      <c r="K61">
        <v>60.015000000000001</v>
      </c>
      <c r="L61" s="5" t="s">
        <v>19</v>
      </c>
    </row>
    <row r="62" spans="1:12" x14ac:dyDescent="0.3">
      <c r="A62" s="5" t="s">
        <v>25</v>
      </c>
      <c r="B62" s="6">
        <v>0.79619947916666667</v>
      </c>
      <c r="C62">
        <v>5.13</v>
      </c>
      <c r="D62">
        <v>0.01</v>
      </c>
      <c r="E62">
        <v>8</v>
      </c>
      <c r="F62">
        <v>0</v>
      </c>
      <c r="G62">
        <v>0.03</v>
      </c>
      <c r="H62">
        <v>0.14000000000000001</v>
      </c>
      <c r="I62">
        <v>0.08</v>
      </c>
      <c r="J62">
        <v>0.18</v>
      </c>
      <c r="K62">
        <v>60.015000000000001</v>
      </c>
      <c r="L62" s="5" t="s">
        <v>19</v>
      </c>
    </row>
    <row r="63" spans="1:12" x14ac:dyDescent="0.3">
      <c r="A63" s="5" t="s">
        <v>25</v>
      </c>
      <c r="B63" s="6">
        <v>0.79621105324074071</v>
      </c>
      <c r="C63">
        <v>4.6399999999999997</v>
      </c>
      <c r="D63">
        <v>0.01</v>
      </c>
      <c r="E63">
        <v>7.4</v>
      </c>
      <c r="F63">
        <v>0</v>
      </c>
      <c r="G63">
        <v>0.03</v>
      </c>
      <c r="H63">
        <v>0.14000000000000001</v>
      </c>
      <c r="I63">
        <v>0.08</v>
      </c>
      <c r="J63">
        <v>0.18</v>
      </c>
      <c r="K63">
        <v>60.015999999999998</v>
      </c>
      <c r="L63" s="5" t="s">
        <v>19</v>
      </c>
    </row>
    <row r="64" spans="1:12" x14ac:dyDescent="0.3">
      <c r="A64" s="5" t="s">
        <v>25</v>
      </c>
      <c r="B64" s="6">
        <v>0.79622262731481486</v>
      </c>
      <c r="C64">
        <v>4.9800000000000004</v>
      </c>
      <c r="D64">
        <v>0.01</v>
      </c>
      <c r="E64">
        <v>7.8</v>
      </c>
      <c r="F64">
        <v>0</v>
      </c>
      <c r="G64">
        <v>0.03</v>
      </c>
      <c r="H64">
        <v>0.14000000000000001</v>
      </c>
      <c r="I64">
        <v>0.08</v>
      </c>
      <c r="J64">
        <v>0.18</v>
      </c>
      <c r="K64">
        <v>60.015000000000001</v>
      </c>
      <c r="L64" s="5" t="s">
        <v>19</v>
      </c>
    </row>
    <row r="65" spans="1:12" x14ac:dyDescent="0.3">
      <c r="A65" s="5" t="s">
        <v>25</v>
      </c>
      <c r="B65" s="6">
        <v>0.7962342013888889</v>
      </c>
      <c r="C65">
        <v>4.76</v>
      </c>
      <c r="D65">
        <v>0.01</v>
      </c>
      <c r="E65">
        <v>7.5</v>
      </c>
      <c r="F65">
        <v>0</v>
      </c>
      <c r="G65">
        <v>0.03</v>
      </c>
      <c r="H65">
        <v>0.14000000000000001</v>
      </c>
      <c r="I65">
        <v>0.08</v>
      </c>
      <c r="J65">
        <v>0.18</v>
      </c>
      <c r="K65">
        <v>60.015000000000001</v>
      </c>
      <c r="L65" s="5" t="s">
        <v>19</v>
      </c>
    </row>
    <row r="66" spans="1:12" x14ac:dyDescent="0.3">
      <c r="A66" s="5" t="s">
        <v>25</v>
      </c>
      <c r="B66" s="6">
        <v>0.79624577546296293</v>
      </c>
      <c r="C66">
        <v>4.8600000000000003</v>
      </c>
      <c r="D66">
        <v>0.01</v>
      </c>
      <c r="E66">
        <v>7.6</v>
      </c>
      <c r="F66">
        <v>0</v>
      </c>
      <c r="G66">
        <v>0.03</v>
      </c>
      <c r="H66">
        <v>0.14000000000000001</v>
      </c>
      <c r="I66">
        <v>0.08</v>
      </c>
      <c r="J66">
        <v>0.18</v>
      </c>
      <c r="K66">
        <v>60.015999999999998</v>
      </c>
      <c r="L66" s="5" t="s">
        <v>19</v>
      </c>
    </row>
    <row r="67" spans="1:12" x14ac:dyDescent="0.3">
      <c r="A67" s="5" t="s">
        <v>25</v>
      </c>
      <c r="B67" s="6">
        <v>0.79625734953703708</v>
      </c>
      <c r="C67">
        <v>4.9400000000000004</v>
      </c>
      <c r="D67">
        <v>0.01</v>
      </c>
      <c r="E67">
        <v>7.7</v>
      </c>
      <c r="F67">
        <v>0</v>
      </c>
      <c r="G67">
        <v>0.03</v>
      </c>
      <c r="H67">
        <v>0.14000000000000001</v>
      </c>
      <c r="I67">
        <v>0.08</v>
      </c>
      <c r="J67">
        <v>0.18</v>
      </c>
      <c r="K67">
        <v>60.014000000000003</v>
      </c>
      <c r="L67" s="5" t="s">
        <v>19</v>
      </c>
    </row>
    <row r="68" spans="1:12" x14ac:dyDescent="0.3">
      <c r="A68" s="5" t="s">
        <v>25</v>
      </c>
      <c r="B68" s="6">
        <v>0.79626892361111112</v>
      </c>
      <c r="C68">
        <v>4.68</v>
      </c>
      <c r="D68">
        <v>0.01</v>
      </c>
      <c r="E68">
        <v>7.5</v>
      </c>
      <c r="F68">
        <v>0</v>
      </c>
      <c r="G68">
        <v>0.03</v>
      </c>
      <c r="H68">
        <v>0.14000000000000001</v>
      </c>
      <c r="I68">
        <v>0.08</v>
      </c>
      <c r="J68">
        <v>0.18</v>
      </c>
      <c r="K68">
        <v>60.015999999999998</v>
      </c>
      <c r="L68" s="5" t="s">
        <v>19</v>
      </c>
    </row>
    <row r="69" spans="1:12" x14ac:dyDescent="0.3">
      <c r="A69" s="5" t="s">
        <v>25</v>
      </c>
      <c r="B69" s="6">
        <v>0.79628049768518516</v>
      </c>
      <c r="C69">
        <v>5.08</v>
      </c>
      <c r="D69">
        <v>0.01</v>
      </c>
      <c r="E69">
        <v>7.9</v>
      </c>
      <c r="F69">
        <v>0</v>
      </c>
      <c r="G69">
        <v>0.03</v>
      </c>
      <c r="H69">
        <v>0.14000000000000001</v>
      </c>
      <c r="I69">
        <v>0.08</v>
      </c>
      <c r="J69">
        <v>0.18</v>
      </c>
      <c r="K69">
        <v>60.014000000000003</v>
      </c>
      <c r="L69" s="5" t="s">
        <v>19</v>
      </c>
    </row>
    <row r="70" spans="1:12" x14ac:dyDescent="0.3">
      <c r="A70" s="5" t="s">
        <v>25</v>
      </c>
      <c r="B70" s="6">
        <v>0.79629207175925931</v>
      </c>
      <c r="C70">
        <v>4.6500000000000004</v>
      </c>
      <c r="D70">
        <v>0.01</v>
      </c>
      <c r="E70">
        <v>7.4</v>
      </c>
      <c r="F70">
        <v>0</v>
      </c>
      <c r="G70">
        <v>0.03</v>
      </c>
      <c r="H70">
        <v>0.14000000000000001</v>
      </c>
      <c r="I70">
        <v>0.08</v>
      </c>
      <c r="J70">
        <v>0.18</v>
      </c>
      <c r="K70">
        <v>60.015999999999998</v>
      </c>
      <c r="L70" s="5" t="s">
        <v>19</v>
      </c>
    </row>
    <row r="71" spans="1:12" x14ac:dyDescent="0.3">
      <c r="A71" s="5" t="s">
        <v>25</v>
      </c>
      <c r="B71" s="6">
        <v>0.79630364583333335</v>
      </c>
      <c r="C71">
        <v>4.96</v>
      </c>
      <c r="D71">
        <v>0.01</v>
      </c>
      <c r="E71">
        <v>7.8</v>
      </c>
      <c r="F71">
        <v>0</v>
      </c>
      <c r="G71">
        <v>0.03</v>
      </c>
      <c r="H71">
        <v>0.14000000000000001</v>
      </c>
      <c r="I71">
        <v>0.08</v>
      </c>
      <c r="J71">
        <v>0.18</v>
      </c>
      <c r="K71">
        <v>60.015000000000001</v>
      </c>
      <c r="L71" s="5" t="s">
        <v>19</v>
      </c>
    </row>
    <row r="72" spans="1:12" x14ac:dyDescent="0.3">
      <c r="A72" s="5" t="s">
        <v>25</v>
      </c>
      <c r="B72" s="6">
        <v>0.79631521990740739</v>
      </c>
      <c r="C72">
        <v>4.76</v>
      </c>
      <c r="D72">
        <v>0.01</v>
      </c>
      <c r="E72">
        <v>7.4</v>
      </c>
      <c r="F72">
        <v>0</v>
      </c>
      <c r="G72">
        <v>0.03</v>
      </c>
      <c r="H72">
        <v>0.14000000000000001</v>
      </c>
      <c r="I72">
        <v>0.08</v>
      </c>
      <c r="J72">
        <v>0.18</v>
      </c>
      <c r="K72">
        <v>60.015000000000001</v>
      </c>
      <c r="L72" s="5" t="s">
        <v>19</v>
      </c>
    </row>
    <row r="73" spans="1:12" x14ac:dyDescent="0.3">
      <c r="A73" s="5" t="s">
        <v>25</v>
      </c>
      <c r="B73" s="6">
        <v>0.79632679398148143</v>
      </c>
      <c r="C73">
        <v>4.78</v>
      </c>
      <c r="D73">
        <v>0.01</v>
      </c>
      <c r="E73">
        <v>7.6</v>
      </c>
      <c r="F73">
        <v>0</v>
      </c>
      <c r="G73">
        <v>0.03</v>
      </c>
      <c r="H73">
        <v>0.14000000000000001</v>
      </c>
      <c r="I73">
        <v>0.08</v>
      </c>
      <c r="J73">
        <v>0.18</v>
      </c>
      <c r="K73">
        <v>60.014000000000003</v>
      </c>
      <c r="L73" s="5" t="s">
        <v>19</v>
      </c>
    </row>
    <row r="74" spans="1:12" x14ac:dyDescent="0.3">
      <c r="A74" s="5" t="s">
        <v>25</v>
      </c>
      <c r="B74" s="6">
        <v>0.79633836805555558</v>
      </c>
      <c r="C74">
        <v>4.96</v>
      </c>
      <c r="D74">
        <v>0.01</v>
      </c>
      <c r="E74">
        <v>7.7</v>
      </c>
      <c r="F74">
        <v>0</v>
      </c>
      <c r="G74">
        <v>0.03</v>
      </c>
      <c r="H74">
        <v>0.14000000000000001</v>
      </c>
      <c r="I74">
        <v>0.08</v>
      </c>
      <c r="J74">
        <v>0.18</v>
      </c>
      <c r="K74">
        <v>60.014000000000003</v>
      </c>
      <c r="L74" s="5" t="s">
        <v>19</v>
      </c>
    </row>
    <row r="75" spans="1:12" x14ac:dyDescent="0.3">
      <c r="A75" s="5" t="s">
        <v>25</v>
      </c>
      <c r="B75" s="6">
        <v>0.79634994212962962</v>
      </c>
      <c r="C75">
        <v>4.6399999999999997</v>
      </c>
      <c r="D75">
        <v>0.01</v>
      </c>
      <c r="E75">
        <v>7.4</v>
      </c>
      <c r="F75">
        <v>0</v>
      </c>
      <c r="G75">
        <v>0.03</v>
      </c>
      <c r="H75">
        <v>0.14000000000000001</v>
      </c>
      <c r="I75">
        <v>0.08</v>
      </c>
      <c r="J75">
        <v>0.18</v>
      </c>
      <c r="K75">
        <v>60.015000000000001</v>
      </c>
      <c r="L75" s="5" t="s">
        <v>19</v>
      </c>
    </row>
    <row r="76" spans="1:12" x14ac:dyDescent="0.3">
      <c r="A76" s="5" t="s">
        <v>25</v>
      </c>
      <c r="B76" s="6">
        <v>0.79636151620370366</v>
      </c>
      <c r="C76">
        <v>5.0599999999999996</v>
      </c>
      <c r="D76">
        <v>0.01</v>
      </c>
      <c r="E76">
        <v>7.8</v>
      </c>
      <c r="F76">
        <v>0</v>
      </c>
      <c r="G76">
        <v>0.03</v>
      </c>
      <c r="H76">
        <v>0.14000000000000001</v>
      </c>
      <c r="I76">
        <v>0.08</v>
      </c>
      <c r="J76">
        <v>0.18</v>
      </c>
      <c r="K76">
        <v>60.012999999999998</v>
      </c>
      <c r="L76" s="5" t="s">
        <v>19</v>
      </c>
    </row>
    <row r="77" spans="1:12" x14ac:dyDescent="0.3">
      <c r="A77" s="5" t="s">
        <v>25</v>
      </c>
      <c r="B77" s="6">
        <v>0.79637309027777781</v>
      </c>
      <c r="C77">
        <v>4.66</v>
      </c>
      <c r="D77">
        <v>0.01</v>
      </c>
      <c r="E77">
        <v>7.4</v>
      </c>
      <c r="F77">
        <v>0</v>
      </c>
      <c r="G77">
        <v>0.03</v>
      </c>
      <c r="H77">
        <v>0.14000000000000001</v>
      </c>
      <c r="I77">
        <v>0.08</v>
      </c>
      <c r="J77">
        <v>0.18</v>
      </c>
      <c r="K77">
        <v>60.015000000000001</v>
      </c>
      <c r="L77" s="5" t="s">
        <v>19</v>
      </c>
    </row>
    <row r="78" spans="1:12" x14ac:dyDescent="0.3">
      <c r="A78" s="5" t="s">
        <v>25</v>
      </c>
      <c r="B78" s="6">
        <v>0.79638466435185185</v>
      </c>
      <c r="C78">
        <v>4.88</v>
      </c>
      <c r="D78">
        <v>0.01</v>
      </c>
      <c r="E78">
        <v>7.7</v>
      </c>
      <c r="F78">
        <v>0</v>
      </c>
      <c r="G78">
        <v>0.03</v>
      </c>
      <c r="H78">
        <v>0.14000000000000001</v>
      </c>
      <c r="I78">
        <v>0.08</v>
      </c>
      <c r="J78">
        <v>0.18</v>
      </c>
      <c r="K78">
        <v>60.012</v>
      </c>
      <c r="L78" s="5" t="s">
        <v>19</v>
      </c>
    </row>
    <row r="79" spans="1:12" x14ac:dyDescent="0.3">
      <c r="A79" s="5" t="s">
        <v>25</v>
      </c>
      <c r="B79" s="6">
        <v>0.79639623842592588</v>
      </c>
      <c r="C79">
        <v>4.8099999999999996</v>
      </c>
      <c r="D79">
        <v>0.01</v>
      </c>
      <c r="E79">
        <v>7.6</v>
      </c>
      <c r="F79">
        <v>0</v>
      </c>
      <c r="G79">
        <v>0.03</v>
      </c>
      <c r="H79">
        <v>0.14000000000000001</v>
      </c>
      <c r="I79">
        <v>0.08</v>
      </c>
      <c r="J79">
        <v>0.18</v>
      </c>
      <c r="K79">
        <v>60.014000000000003</v>
      </c>
      <c r="L79" s="5" t="s">
        <v>19</v>
      </c>
    </row>
    <row r="80" spans="1:12" x14ac:dyDescent="0.3">
      <c r="A80" s="5" t="s">
        <v>25</v>
      </c>
      <c r="B80" s="6">
        <v>0.79640781250000003</v>
      </c>
      <c r="C80">
        <v>4.78</v>
      </c>
      <c r="D80">
        <v>0.01</v>
      </c>
      <c r="E80">
        <v>7.6</v>
      </c>
      <c r="F80">
        <v>0</v>
      </c>
      <c r="G80">
        <v>0.03</v>
      </c>
      <c r="H80">
        <v>0.14000000000000001</v>
      </c>
      <c r="I80">
        <v>0.08</v>
      </c>
      <c r="J80">
        <v>0.18</v>
      </c>
      <c r="K80">
        <v>60.012</v>
      </c>
      <c r="L80" s="5" t="s">
        <v>19</v>
      </c>
    </row>
    <row r="81" spans="1:12" x14ac:dyDescent="0.3">
      <c r="A81" s="5" t="s">
        <v>25</v>
      </c>
      <c r="B81" s="6">
        <v>0.79641938657407407</v>
      </c>
      <c r="C81">
        <v>5</v>
      </c>
      <c r="D81">
        <v>0.01</v>
      </c>
      <c r="E81">
        <v>7.8</v>
      </c>
      <c r="F81">
        <v>0</v>
      </c>
      <c r="G81">
        <v>0.03</v>
      </c>
      <c r="H81">
        <v>0.14000000000000001</v>
      </c>
      <c r="I81">
        <v>0.08</v>
      </c>
      <c r="J81">
        <v>0.18</v>
      </c>
      <c r="K81">
        <v>60.011000000000003</v>
      </c>
      <c r="L81" s="5" t="s">
        <v>19</v>
      </c>
    </row>
    <row r="82" spans="1:12" x14ac:dyDescent="0.3">
      <c r="A82" s="5" t="s">
        <v>25</v>
      </c>
      <c r="B82" s="6">
        <v>0.79643096064814811</v>
      </c>
      <c r="C82">
        <v>4.72</v>
      </c>
      <c r="D82">
        <v>0.01</v>
      </c>
      <c r="E82">
        <v>7.5</v>
      </c>
      <c r="F82">
        <v>0</v>
      </c>
      <c r="G82">
        <v>0.03</v>
      </c>
      <c r="H82">
        <v>0.14000000000000001</v>
      </c>
      <c r="I82">
        <v>0.08</v>
      </c>
      <c r="J82">
        <v>0.18</v>
      </c>
      <c r="K82">
        <v>60.011000000000003</v>
      </c>
      <c r="L82" s="5" t="s">
        <v>19</v>
      </c>
    </row>
    <row r="83" spans="1:12" x14ac:dyDescent="0.3">
      <c r="A83" s="5" t="s">
        <v>25</v>
      </c>
      <c r="B83" s="6">
        <v>0.79644253472222226</v>
      </c>
      <c r="C83">
        <v>5.0199999999999996</v>
      </c>
      <c r="D83">
        <v>0.01</v>
      </c>
      <c r="E83">
        <v>7.8</v>
      </c>
      <c r="F83">
        <v>0</v>
      </c>
      <c r="G83">
        <v>0.03</v>
      </c>
      <c r="H83">
        <v>0.14000000000000001</v>
      </c>
      <c r="I83">
        <v>0.08</v>
      </c>
      <c r="J83">
        <v>0.18</v>
      </c>
      <c r="K83">
        <v>60.009</v>
      </c>
      <c r="L83" s="5" t="s">
        <v>19</v>
      </c>
    </row>
    <row r="84" spans="1:12" x14ac:dyDescent="0.3">
      <c r="A84" s="5" t="s">
        <v>25</v>
      </c>
      <c r="B84" s="6">
        <v>0.7964541087962963</v>
      </c>
      <c r="C84">
        <v>4.6500000000000004</v>
      </c>
      <c r="D84">
        <v>0.01</v>
      </c>
      <c r="E84">
        <v>7.4</v>
      </c>
      <c r="F84">
        <v>0</v>
      </c>
      <c r="G84">
        <v>0.03</v>
      </c>
      <c r="H84">
        <v>0.14000000000000001</v>
      </c>
      <c r="I84">
        <v>0.08</v>
      </c>
      <c r="J84">
        <v>0.18</v>
      </c>
      <c r="K84">
        <v>60.01</v>
      </c>
      <c r="L84" s="5" t="s">
        <v>19</v>
      </c>
    </row>
    <row r="85" spans="1:12" x14ac:dyDescent="0.3">
      <c r="A85" s="5" t="s">
        <v>25</v>
      </c>
      <c r="B85" s="6">
        <v>0.79646568287037034</v>
      </c>
      <c r="C85">
        <v>4.91</v>
      </c>
      <c r="D85">
        <v>0.01</v>
      </c>
      <c r="E85">
        <v>7.7</v>
      </c>
      <c r="F85">
        <v>0</v>
      </c>
      <c r="G85">
        <v>0.03</v>
      </c>
      <c r="H85">
        <v>0.14000000000000001</v>
      </c>
      <c r="I85">
        <v>0.08</v>
      </c>
      <c r="J85">
        <v>0.18</v>
      </c>
      <c r="K85">
        <v>60.008000000000003</v>
      </c>
      <c r="L85" s="5" t="s">
        <v>19</v>
      </c>
    </row>
    <row r="86" spans="1:12" x14ac:dyDescent="0.3">
      <c r="A86" s="5" t="s">
        <v>25</v>
      </c>
      <c r="B86" s="6">
        <v>0.79647725694444449</v>
      </c>
      <c r="C86">
        <v>4.8600000000000003</v>
      </c>
      <c r="D86">
        <v>0.01</v>
      </c>
      <c r="E86">
        <v>7.6</v>
      </c>
      <c r="F86">
        <v>0</v>
      </c>
      <c r="G86">
        <v>0.03</v>
      </c>
      <c r="H86">
        <v>0.14000000000000001</v>
      </c>
      <c r="I86">
        <v>0.08</v>
      </c>
      <c r="J86">
        <v>0.18</v>
      </c>
      <c r="K86">
        <v>60.008000000000003</v>
      </c>
      <c r="L86" s="5" t="s">
        <v>19</v>
      </c>
    </row>
    <row r="87" spans="1:12" x14ac:dyDescent="0.3">
      <c r="A87" s="5" t="s">
        <v>25</v>
      </c>
      <c r="B87" s="6">
        <v>0.79648883101851853</v>
      </c>
      <c r="C87">
        <v>4.7699999999999996</v>
      </c>
      <c r="D87">
        <v>0.01</v>
      </c>
      <c r="E87">
        <v>7.6</v>
      </c>
      <c r="F87">
        <v>0</v>
      </c>
      <c r="G87">
        <v>0.03</v>
      </c>
      <c r="H87">
        <v>0.14000000000000001</v>
      </c>
      <c r="I87">
        <v>0.08</v>
      </c>
      <c r="J87">
        <v>0.18</v>
      </c>
      <c r="K87">
        <v>60.006999999999998</v>
      </c>
      <c r="L87" s="5" t="s">
        <v>19</v>
      </c>
    </row>
    <row r="88" spans="1:12" x14ac:dyDescent="0.3">
      <c r="A88" s="5" t="s">
        <v>25</v>
      </c>
      <c r="B88" s="6">
        <v>0.79650040509259257</v>
      </c>
      <c r="C88">
        <v>5.08</v>
      </c>
      <c r="D88">
        <v>0.01</v>
      </c>
      <c r="E88">
        <v>7.9</v>
      </c>
      <c r="F88">
        <v>0</v>
      </c>
      <c r="G88">
        <v>0.03</v>
      </c>
      <c r="H88">
        <v>0.14000000000000001</v>
      </c>
      <c r="I88">
        <v>0.08</v>
      </c>
      <c r="J88">
        <v>0.18</v>
      </c>
      <c r="K88">
        <v>60.006</v>
      </c>
      <c r="L88" s="5" t="s">
        <v>19</v>
      </c>
    </row>
    <row r="89" spans="1:12" x14ac:dyDescent="0.3">
      <c r="A89" s="5" t="s">
        <v>25</v>
      </c>
      <c r="B89" s="6">
        <v>0.79651197916666672</v>
      </c>
      <c r="C89">
        <v>4.5999999999999996</v>
      </c>
      <c r="D89">
        <v>0.01</v>
      </c>
      <c r="E89">
        <v>7.3</v>
      </c>
      <c r="F89">
        <v>0</v>
      </c>
      <c r="G89">
        <v>0.03</v>
      </c>
      <c r="H89">
        <v>0.14000000000000001</v>
      </c>
      <c r="I89">
        <v>0.08</v>
      </c>
      <c r="J89">
        <v>0.18</v>
      </c>
      <c r="K89">
        <v>60.006</v>
      </c>
      <c r="L89" s="5" t="s">
        <v>19</v>
      </c>
    </row>
    <row r="90" spans="1:12" x14ac:dyDescent="0.3">
      <c r="A90" s="5" t="s">
        <v>25</v>
      </c>
      <c r="B90" s="6">
        <v>0.79652355324074076</v>
      </c>
      <c r="C90">
        <v>5.03</v>
      </c>
      <c r="D90">
        <v>0.01</v>
      </c>
      <c r="E90">
        <v>7.9</v>
      </c>
      <c r="F90">
        <v>0</v>
      </c>
      <c r="G90">
        <v>0.03</v>
      </c>
      <c r="H90">
        <v>0.14000000000000001</v>
      </c>
      <c r="I90">
        <v>0.08</v>
      </c>
      <c r="J90">
        <v>0.18</v>
      </c>
      <c r="K90">
        <v>60.003999999999998</v>
      </c>
      <c r="L90" s="5" t="s">
        <v>19</v>
      </c>
    </row>
    <row r="91" spans="1:12" x14ac:dyDescent="0.3">
      <c r="A91" s="5" t="s">
        <v>25</v>
      </c>
      <c r="B91" s="6">
        <v>0.79653512731481479</v>
      </c>
      <c r="C91">
        <v>4.7300000000000004</v>
      </c>
      <c r="D91">
        <v>0.01</v>
      </c>
      <c r="E91">
        <v>7.4</v>
      </c>
      <c r="F91">
        <v>0</v>
      </c>
      <c r="G91">
        <v>0.03</v>
      </c>
      <c r="H91">
        <v>0.14000000000000001</v>
      </c>
      <c r="I91">
        <v>0.08</v>
      </c>
      <c r="J91">
        <v>0.18</v>
      </c>
      <c r="K91">
        <v>60.005000000000003</v>
      </c>
      <c r="L91" s="5" t="s">
        <v>19</v>
      </c>
    </row>
    <row r="92" spans="1:12" x14ac:dyDescent="0.3">
      <c r="A92" s="5" t="s">
        <v>25</v>
      </c>
      <c r="B92" s="6">
        <v>0.79654670138888883</v>
      </c>
      <c r="C92">
        <v>4.8499999999999996</v>
      </c>
      <c r="D92">
        <v>0.01</v>
      </c>
      <c r="E92">
        <v>7.6</v>
      </c>
      <c r="F92">
        <v>0</v>
      </c>
      <c r="G92">
        <v>0.03</v>
      </c>
      <c r="H92">
        <v>0.14000000000000001</v>
      </c>
      <c r="I92">
        <v>0.08</v>
      </c>
      <c r="J92">
        <v>0.18</v>
      </c>
      <c r="K92">
        <v>60.003</v>
      </c>
      <c r="L92" s="5" t="s">
        <v>19</v>
      </c>
    </row>
    <row r="93" spans="1:12" x14ac:dyDescent="0.3">
      <c r="A93" s="5" t="s">
        <v>25</v>
      </c>
      <c r="B93" s="6">
        <v>0.79655827546296298</v>
      </c>
      <c r="C93">
        <v>4.88</v>
      </c>
      <c r="D93">
        <v>0.01</v>
      </c>
      <c r="E93">
        <v>7.6</v>
      </c>
      <c r="F93">
        <v>0</v>
      </c>
      <c r="G93">
        <v>0.03</v>
      </c>
      <c r="H93">
        <v>0.14000000000000001</v>
      </c>
      <c r="I93">
        <v>0.08</v>
      </c>
      <c r="J93">
        <v>0.18</v>
      </c>
      <c r="K93">
        <v>60.003999999999998</v>
      </c>
      <c r="L93" s="5" t="s">
        <v>19</v>
      </c>
    </row>
    <row r="94" spans="1:12" x14ac:dyDescent="0.3">
      <c r="A94" s="5" t="s">
        <v>25</v>
      </c>
      <c r="B94" s="6">
        <v>0.79656984953703702</v>
      </c>
      <c r="C94">
        <v>4.7300000000000004</v>
      </c>
      <c r="D94">
        <v>0.01</v>
      </c>
      <c r="E94">
        <v>7.5</v>
      </c>
      <c r="F94">
        <v>0</v>
      </c>
      <c r="G94">
        <v>0.03</v>
      </c>
      <c r="H94">
        <v>0.14000000000000001</v>
      </c>
      <c r="I94">
        <v>0.08</v>
      </c>
      <c r="J94">
        <v>0.18</v>
      </c>
      <c r="K94">
        <v>60.003</v>
      </c>
      <c r="L94" s="5" t="s">
        <v>19</v>
      </c>
    </row>
    <row r="95" spans="1:12" x14ac:dyDescent="0.3">
      <c r="A95" s="5" t="s">
        <v>25</v>
      </c>
      <c r="B95" s="6">
        <v>0.79658142361111106</v>
      </c>
      <c r="C95">
        <v>5.05</v>
      </c>
      <c r="D95">
        <v>0.01</v>
      </c>
      <c r="E95">
        <v>7.8</v>
      </c>
      <c r="F95">
        <v>0</v>
      </c>
      <c r="G95">
        <v>0.03</v>
      </c>
      <c r="H95">
        <v>0.14000000000000001</v>
      </c>
      <c r="I95">
        <v>0.08</v>
      </c>
      <c r="J95">
        <v>0.18</v>
      </c>
      <c r="K95">
        <v>60.003</v>
      </c>
      <c r="L95" s="5" t="s">
        <v>19</v>
      </c>
    </row>
    <row r="96" spans="1:12" x14ac:dyDescent="0.3">
      <c r="A96" s="5" t="s">
        <v>25</v>
      </c>
      <c r="B96" s="6">
        <v>0.79659299768518521</v>
      </c>
      <c r="C96">
        <v>4.71</v>
      </c>
      <c r="D96">
        <v>0.01</v>
      </c>
      <c r="E96">
        <v>7.5</v>
      </c>
      <c r="F96">
        <v>0</v>
      </c>
      <c r="G96">
        <v>0.03</v>
      </c>
      <c r="H96">
        <v>0.14000000000000001</v>
      </c>
      <c r="I96">
        <v>0.08</v>
      </c>
      <c r="J96">
        <v>0.18</v>
      </c>
      <c r="K96">
        <v>60.003999999999998</v>
      </c>
      <c r="L96" s="5" t="s">
        <v>19</v>
      </c>
    </row>
    <row r="97" spans="1:12" x14ac:dyDescent="0.3">
      <c r="A97" s="5" t="s">
        <v>25</v>
      </c>
      <c r="B97" s="6">
        <v>0.79660457175925925</v>
      </c>
      <c r="C97">
        <v>5.03</v>
      </c>
      <c r="D97">
        <v>0.01</v>
      </c>
      <c r="E97">
        <v>7.9</v>
      </c>
      <c r="F97">
        <v>0</v>
      </c>
      <c r="G97">
        <v>0.03</v>
      </c>
      <c r="H97">
        <v>0.14000000000000001</v>
      </c>
      <c r="I97">
        <v>0.08</v>
      </c>
      <c r="J97">
        <v>0.18</v>
      </c>
      <c r="K97">
        <v>60.003999999999998</v>
      </c>
      <c r="L97" s="5" t="s">
        <v>19</v>
      </c>
    </row>
    <row r="98" spans="1:12" x14ac:dyDescent="0.3">
      <c r="A98" s="5" t="s">
        <v>25</v>
      </c>
      <c r="B98" s="6">
        <v>0.79661614583333329</v>
      </c>
      <c r="C98">
        <v>4.76</v>
      </c>
      <c r="D98">
        <v>0.01</v>
      </c>
      <c r="E98">
        <v>7.5</v>
      </c>
      <c r="F98">
        <v>0</v>
      </c>
      <c r="G98">
        <v>0.03</v>
      </c>
      <c r="H98">
        <v>0.14000000000000001</v>
      </c>
      <c r="I98">
        <v>0.08</v>
      </c>
      <c r="J98">
        <v>0.18</v>
      </c>
      <c r="K98">
        <v>60.006</v>
      </c>
      <c r="L98" s="5" t="s">
        <v>19</v>
      </c>
    </row>
    <row r="99" spans="1:12" x14ac:dyDescent="0.3">
      <c r="A99" s="5" t="s">
        <v>25</v>
      </c>
      <c r="B99" s="6">
        <v>0.79662771990740744</v>
      </c>
      <c r="C99">
        <v>4.78</v>
      </c>
      <c r="D99">
        <v>0.01</v>
      </c>
      <c r="E99">
        <v>7.6</v>
      </c>
      <c r="F99">
        <v>0</v>
      </c>
      <c r="G99">
        <v>0.03</v>
      </c>
      <c r="H99">
        <v>0.14000000000000001</v>
      </c>
      <c r="I99">
        <v>0.08</v>
      </c>
      <c r="J99">
        <v>0.18</v>
      </c>
      <c r="K99">
        <v>60.006</v>
      </c>
      <c r="L99" s="5" t="s">
        <v>19</v>
      </c>
    </row>
    <row r="100" spans="1:12" x14ac:dyDescent="0.3">
      <c r="A100" s="5" t="s">
        <v>25</v>
      </c>
      <c r="B100" s="6">
        <v>0.79663929398148148</v>
      </c>
      <c r="C100">
        <v>4.9400000000000004</v>
      </c>
      <c r="D100">
        <v>0.01</v>
      </c>
      <c r="E100">
        <v>7.7</v>
      </c>
      <c r="F100">
        <v>0</v>
      </c>
      <c r="G100">
        <v>0.03</v>
      </c>
      <c r="H100">
        <v>0.14000000000000001</v>
      </c>
      <c r="I100">
        <v>0.08</v>
      </c>
      <c r="J100">
        <v>0.18</v>
      </c>
      <c r="K100">
        <v>60.006999999999998</v>
      </c>
      <c r="L100" s="5" t="s">
        <v>19</v>
      </c>
    </row>
    <row r="101" spans="1:12" x14ac:dyDescent="0.3">
      <c r="A101" s="5" t="s">
        <v>25</v>
      </c>
      <c r="B101" s="6">
        <v>0.79665086805555552</v>
      </c>
      <c r="C101">
        <v>4.6900000000000004</v>
      </c>
      <c r="D101">
        <v>0.01</v>
      </c>
      <c r="E101">
        <v>7.5</v>
      </c>
      <c r="F101">
        <v>0</v>
      </c>
      <c r="G101">
        <v>0.03</v>
      </c>
      <c r="H101">
        <v>0.14000000000000001</v>
      </c>
      <c r="I101">
        <v>0.08</v>
      </c>
      <c r="J101">
        <v>0.18</v>
      </c>
      <c r="K101">
        <v>60.008000000000003</v>
      </c>
      <c r="L101" s="5" t="s">
        <v>19</v>
      </c>
    </row>
    <row r="102" spans="1:12" x14ac:dyDescent="0.3">
      <c r="A102" s="5" t="s">
        <v>25</v>
      </c>
      <c r="B102" s="6">
        <v>0.79666244212962967</v>
      </c>
      <c r="C102">
        <v>5.09</v>
      </c>
      <c r="D102">
        <v>0.01</v>
      </c>
      <c r="E102">
        <v>7.9</v>
      </c>
      <c r="F102">
        <v>0</v>
      </c>
      <c r="G102">
        <v>0.03</v>
      </c>
      <c r="H102">
        <v>0.14000000000000001</v>
      </c>
      <c r="I102">
        <v>0.08</v>
      </c>
      <c r="J102">
        <v>0.18</v>
      </c>
      <c r="K102">
        <v>60.008000000000003</v>
      </c>
      <c r="L102" s="5" t="s">
        <v>19</v>
      </c>
    </row>
    <row r="103" spans="1:12" x14ac:dyDescent="0.3">
      <c r="A103" s="5" t="s">
        <v>25</v>
      </c>
      <c r="B103" s="6">
        <v>0.79667401620370371</v>
      </c>
      <c r="C103">
        <v>4.6900000000000004</v>
      </c>
      <c r="D103">
        <v>0.01</v>
      </c>
      <c r="E103">
        <v>7.4</v>
      </c>
      <c r="F103">
        <v>0</v>
      </c>
      <c r="G103">
        <v>0.03</v>
      </c>
      <c r="H103">
        <v>0.14000000000000001</v>
      </c>
      <c r="I103">
        <v>0.08</v>
      </c>
      <c r="J103">
        <v>0.18</v>
      </c>
      <c r="K103">
        <v>60.01</v>
      </c>
      <c r="L103" s="5" t="s">
        <v>19</v>
      </c>
    </row>
    <row r="104" spans="1:12" x14ac:dyDescent="0.3">
      <c r="A104" s="5" t="s">
        <v>25</v>
      </c>
      <c r="B104" s="6">
        <v>0.79668559027777774</v>
      </c>
      <c r="C104">
        <v>4.96</v>
      </c>
      <c r="D104">
        <v>0.01</v>
      </c>
      <c r="E104">
        <v>7.8</v>
      </c>
      <c r="F104">
        <v>0</v>
      </c>
      <c r="G104">
        <v>0.03</v>
      </c>
      <c r="H104">
        <v>0.14000000000000001</v>
      </c>
      <c r="I104">
        <v>0.08</v>
      </c>
      <c r="J104">
        <v>0.18</v>
      </c>
      <c r="K104">
        <v>60.01</v>
      </c>
      <c r="L104" s="5" t="s">
        <v>19</v>
      </c>
    </row>
    <row r="105" spans="1:12" x14ac:dyDescent="0.3">
      <c r="A105" s="5" t="s">
        <v>25</v>
      </c>
      <c r="B105" s="6">
        <v>0.79669716435185189</v>
      </c>
      <c r="C105">
        <v>4.78</v>
      </c>
      <c r="D105">
        <v>0.01</v>
      </c>
      <c r="E105">
        <v>7.5</v>
      </c>
      <c r="F105">
        <v>0</v>
      </c>
      <c r="G105">
        <v>0.03</v>
      </c>
      <c r="H105">
        <v>0.14000000000000001</v>
      </c>
      <c r="I105">
        <v>0.08</v>
      </c>
      <c r="J105">
        <v>0.18</v>
      </c>
      <c r="K105">
        <v>60.011000000000003</v>
      </c>
      <c r="L105" s="5" t="s">
        <v>19</v>
      </c>
    </row>
    <row r="106" spans="1:12" x14ac:dyDescent="0.3">
      <c r="A106" s="5" t="s">
        <v>25</v>
      </c>
      <c r="B106" s="6">
        <v>0.79670873842592593</v>
      </c>
      <c r="C106">
        <v>4.8</v>
      </c>
      <c r="D106">
        <v>0.01</v>
      </c>
      <c r="E106">
        <v>7.6</v>
      </c>
      <c r="F106">
        <v>0</v>
      </c>
      <c r="G106">
        <v>0.03</v>
      </c>
      <c r="H106">
        <v>0.14000000000000001</v>
      </c>
      <c r="I106">
        <v>0.08</v>
      </c>
      <c r="J106">
        <v>0.18</v>
      </c>
      <c r="K106">
        <v>60.011000000000003</v>
      </c>
      <c r="L106" s="5" t="s">
        <v>19</v>
      </c>
    </row>
    <row r="107" spans="1:12" x14ac:dyDescent="0.3">
      <c r="A107" s="5" t="s">
        <v>25</v>
      </c>
      <c r="B107" s="6">
        <v>0.79672031249999997</v>
      </c>
      <c r="C107">
        <v>4.99</v>
      </c>
      <c r="D107">
        <v>0.01</v>
      </c>
      <c r="E107">
        <v>7.8</v>
      </c>
      <c r="F107">
        <v>0</v>
      </c>
      <c r="G107">
        <v>0.03</v>
      </c>
      <c r="H107">
        <v>0.14000000000000001</v>
      </c>
      <c r="I107">
        <v>0.08</v>
      </c>
      <c r="J107">
        <v>0.18</v>
      </c>
      <c r="K107">
        <v>60.011000000000003</v>
      </c>
      <c r="L107" s="5" t="s">
        <v>19</v>
      </c>
    </row>
    <row r="108" spans="1:12" x14ac:dyDescent="0.3">
      <c r="A108" s="5" t="s">
        <v>25</v>
      </c>
      <c r="B108" s="6">
        <v>0.79673188657407412</v>
      </c>
      <c r="C108">
        <v>4.71</v>
      </c>
      <c r="D108">
        <v>0.01</v>
      </c>
      <c r="E108">
        <v>7.5</v>
      </c>
      <c r="F108">
        <v>0</v>
      </c>
      <c r="G108">
        <v>0.03</v>
      </c>
      <c r="H108">
        <v>0.14000000000000001</v>
      </c>
      <c r="I108">
        <v>0.08</v>
      </c>
      <c r="J108">
        <v>0.18</v>
      </c>
      <c r="K108">
        <v>60.012</v>
      </c>
      <c r="L108" s="5" t="s">
        <v>19</v>
      </c>
    </row>
    <row r="109" spans="1:12" x14ac:dyDescent="0.3">
      <c r="A109" s="5" t="s">
        <v>25</v>
      </c>
      <c r="B109" s="6">
        <v>0.79674346064814816</v>
      </c>
      <c r="C109">
        <v>5.01</v>
      </c>
      <c r="D109">
        <v>0.01</v>
      </c>
      <c r="E109">
        <v>7.8</v>
      </c>
      <c r="F109">
        <v>0</v>
      </c>
      <c r="G109">
        <v>0.03</v>
      </c>
      <c r="H109">
        <v>0.14000000000000001</v>
      </c>
      <c r="I109">
        <v>0.08</v>
      </c>
      <c r="J109">
        <v>0.18</v>
      </c>
      <c r="K109">
        <v>60.011000000000003</v>
      </c>
      <c r="L109" s="5" t="s">
        <v>19</v>
      </c>
    </row>
    <row r="110" spans="1:12" x14ac:dyDescent="0.3">
      <c r="A110" s="5" t="s">
        <v>25</v>
      </c>
      <c r="B110" s="6">
        <v>0.7967550347222222</v>
      </c>
      <c r="C110">
        <v>4.67</v>
      </c>
      <c r="D110">
        <v>0.01</v>
      </c>
      <c r="E110">
        <v>7.4</v>
      </c>
      <c r="F110">
        <v>0</v>
      </c>
      <c r="G110">
        <v>0.03</v>
      </c>
      <c r="H110">
        <v>0.14000000000000001</v>
      </c>
      <c r="I110">
        <v>0.08</v>
      </c>
      <c r="J110">
        <v>0.18</v>
      </c>
      <c r="K110">
        <v>60.012</v>
      </c>
      <c r="L110" s="5" t="s">
        <v>19</v>
      </c>
    </row>
    <row r="111" spans="1:12" x14ac:dyDescent="0.3">
      <c r="A111" s="5" t="s">
        <v>25</v>
      </c>
      <c r="B111" s="6">
        <v>0.79676660879629635</v>
      </c>
      <c r="C111">
        <v>4.91</v>
      </c>
      <c r="D111">
        <v>0.01</v>
      </c>
      <c r="E111">
        <v>7.7</v>
      </c>
      <c r="F111">
        <v>0</v>
      </c>
      <c r="G111">
        <v>0.03</v>
      </c>
      <c r="H111">
        <v>0.14000000000000001</v>
      </c>
      <c r="I111">
        <v>0.08</v>
      </c>
      <c r="J111">
        <v>0.18</v>
      </c>
      <c r="K111">
        <v>60.011000000000003</v>
      </c>
      <c r="L111" s="5" t="s">
        <v>19</v>
      </c>
    </row>
    <row r="112" spans="1:12" x14ac:dyDescent="0.3">
      <c r="A112" s="5" t="s">
        <v>25</v>
      </c>
      <c r="B112" s="6">
        <v>0.79677818287037039</v>
      </c>
      <c r="C112">
        <v>4.84</v>
      </c>
      <c r="D112">
        <v>0.01</v>
      </c>
      <c r="E112">
        <v>7.6</v>
      </c>
      <c r="F112">
        <v>0</v>
      </c>
      <c r="G112">
        <v>0.03</v>
      </c>
      <c r="H112">
        <v>0.14000000000000001</v>
      </c>
      <c r="I112">
        <v>0.08</v>
      </c>
      <c r="J112">
        <v>0.18</v>
      </c>
      <c r="K112">
        <v>60.012</v>
      </c>
      <c r="L112" s="5" t="s">
        <v>19</v>
      </c>
    </row>
    <row r="113" spans="1:12" x14ac:dyDescent="0.3">
      <c r="A113" s="5" t="s">
        <v>25</v>
      </c>
      <c r="B113" s="6">
        <v>0.79678975694444443</v>
      </c>
      <c r="C113">
        <v>4.78</v>
      </c>
      <c r="D113">
        <v>0.01</v>
      </c>
      <c r="E113">
        <v>7.6</v>
      </c>
      <c r="F113">
        <v>0</v>
      </c>
      <c r="G113">
        <v>0.03</v>
      </c>
      <c r="H113">
        <v>0.14000000000000001</v>
      </c>
      <c r="I113">
        <v>0.08</v>
      </c>
      <c r="J113">
        <v>0.18</v>
      </c>
      <c r="K113">
        <v>60.011000000000003</v>
      </c>
      <c r="L113" s="5" t="s">
        <v>19</v>
      </c>
    </row>
    <row r="114" spans="1:12" x14ac:dyDescent="0.3">
      <c r="A114" s="5" t="s">
        <v>25</v>
      </c>
      <c r="B114" s="6">
        <v>0.79680133101851847</v>
      </c>
      <c r="C114">
        <v>5.04</v>
      </c>
      <c r="D114">
        <v>0.01</v>
      </c>
      <c r="E114">
        <v>7.8</v>
      </c>
      <c r="F114">
        <v>0</v>
      </c>
      <c r="G114">
        <v>0.03</v>
      </c>
      <c r="H114">
        <v>0.14000000000000001</v>
      </c>
      <c r="I114">
        <v>0.08</v>
      </c>
      <c r="J114">
        <v>0.18</v>
      </c>
      <c r="K114">
        <v>60.01</v>
      </c>
      <c r="L114" s="5" t="s">
        <v>19</v>
      </c>
    </row>
    <row r="115" spans="1:12" x14ac:dyDescent="0.3">
      <c r="A115" s="5" t="s">
        <v>25</v>
      </c>
      <c r="B115" s="6">
        <v>0.79681290509259262</v>
      </c>
      <c r="C115">
        <v>4.68</v>
      </c>
      <c r="D115">
        <v>0.01</v>
      </c>
      <c r="E115">
        <v>7.5</v>
      </c>
      <c r="F115">
        <v>0</v>
      </c>
      <c r="G115">
        <v>0.03</v>
      </c>
      <c r="H115">
        <v>0.14000000000000001</v>
      </c>
      <c r="I115">
        <v>0.08</v>
      </c>
      <c r="J115">
        <v>0.18</v>
      </c>
      <c r="K115">
        <v>60.011000000000003</v>
      </c>
      <c r="L115" s="5" t="s">
        <v>19</v>
      </c>
    </row>
    <row r="116" spans="1:12" x14ac:dyDescent="0.3">
      <c r="A116" s="5" t="s">
        <v>25</v>
      </c>
      <c r="B116" s="6">
        <v>0.79682447916666665</v>
      </c>
      <c r="C116">
        <v>5.01</v>
      </c>
      <c r="D116">
        <v>0.01</v>
      </c>
      <c r="E116">
        <v>7.7</v>
      </c>
      <c r="F116">
        <v>0</v>
      </c>
      <c r="G116">
        <v>0.03</v>
      </c>
      <c r="H116">
        <v>0.14000000000000001</v>
      </c>
      <c r="I116">
        <v>0.08</v>
      </c>
      <c r="J116">
        <v>0.18</v>
      </c>
      <c r="K116">
        <v>60.009</v>
      </c>
      <c r="L116" s="5" t="s">
        <v>19</v>
      </c>
    </row>
    <row r="117" spans="1:12" x14ac:dyDescent="0.3">
      <c r="A117" s="5" t="s">
        <v>25</v>
      </c>
      <c r="B117" s="6">
        <v>0.79683605324074069</v>
      </c>
      <c r="C117">
        <v>4.74</v>
      </c>
      <c r="D117">
        <v>0.01</v>
      </c>
      <c r="E117">
        <v>7.5</v>
      </c>
      <c r="F117">
        <v>0</v>
      </c>
      <c r="G117">
        <v>0.03</v>
      </c>
      <c r="H117">
        <v>0.14000000000000001</v>
      </c>
      <c r="I117">
        <v>0.08</v>
      </c>
      <c r="J117">
        <v>0.18</v>
      </c>
      <c r="K117">
        <v>60.01</v>
      </c>
      <c r="L117" s="5" t="s">
        <v>19</v>
      </c>
    </row>
    <row r="118" spans="1:12" x14ac:dyDescent="0.3">
      <c r="A118" s="5" t="s">
        <v>25</v>
      </c>
      <c r="B118" s="6">
        <v>0.79684762731481484</v>
      </c>
      <c r="C118">
        <v>4.87</v>
      </c>
      <c r="D118">
        <v>0.01</v>
      </c>
      <c r="E118">
        <v>7.6</v>
      </c>
      <c r="F118">
        <v>0</v>
      </c>
      <c r="G118">
        <v>0.03</v>
      </c>
      <c r="H118">
        <v>0.14000000000000001</v>
      </c>
      <c r="I118">
        <v>0.08</v>
      </c>
      <c r="J118">
        <v>0.18</v>
      </c>
      <c r="K118">
        <v>60.009</v>
      </c>
      <c r="L118" s="5" t="s">
        <v>19</v>
      </c>
    </row>
    <row r="119" spans="1:12" x14ac:dyDescent="0.3">
      <c r="A119" s="5" t="s">
        <v>25</v>
      </c>
      <c r="B119" s="6">
        <v>0.79685920138888888</v>
      </c>
      <c r="C119">
        <v>4.8600000000000003</v>
      </c>
      <c r="D119">
        <v>0.01</v>
      </c>
      <c r="E119">
        <v>7.5</v>
      </c>
      <c r="F119">
        <v>0</v>
      </c>
      <c r="G119">
        <v>0.03</v>
      </c>
      <c r="H119">
        <v>0.14000000000000001</v>
      </c>
      <c r="I119">
        <v>0.08</v>
      </c>
      <c r="J119">
        <v>0.18</v>
      </c>
      <c r="K119">
        <v>60.009</v>
      </c>
      <c r="L119" s="5" t="s">
        <v>19</v>
      </c>
    </row>
    <row r="120" spans="1:12" x14ac:dyDescent="0.3">
      <c r="A120" s="5" t="s">
        <v>25</v>
      </c>
      <c r="B120" s="6">
        <v>0.79687077546296292</v>
      </c>
      <c r="C120">
        <v>4.7</v>
      </c>
      <c r="D120">
        <v>0.01</v>
      </c>
      <c r="E120">
        <v>7.5</v>
      </c>
      <c r="F120">
        <v>0</v>
      </c>
      <c r="G120">
        <v>0.03</v>
      </c>
      <c r="H120">
        <v>0.14000000000000001</v>
      </c>
      <c r="I120">
        <v>0.08</v>
      </c>
      <c r="J120">
        <v>0.18</v>
      </c>
      <c r="K120">
        <v>60.009</v>
      </c>
      <c r="L120" s="5" t="s">
        <v>19</v>
      </c>
    </row>
    <row r="121" spans="1:12" x14ac:dyDescent="0.3">
      <c r="A121" s="5" t="s">
        <v>25</v>
      </c>
      <c r="B121" s="6">
        <v>0.79688234953703707</v>
      </c>
      <c r="C121">
        <v>5.09</v>
      </c>
      <c r="D121">
        <v>0.01</v>
      </c>
      <c r="E121">
        <v>7.9</v>
      </c>
      <c r="F121">
        <v>0</v>
      </c>
      <c r="G121">
        <v>0.03</v>
      </c>
      <c r="H121">
        <v>0.14000000000000001</v>
      </c>
      <c r="I121">
        <v>0.08</v>
      </c>
      <c r="J121">
        <v>0.18</v>
      </c>
      <c r="K121">
        <v>60.006999999999998</v>
      </c>
      <c r="L121" s="5" t="s">
        <v>19</v>
      </c>
    </row>
    <row r="122" spans="1:12" x14ac:dyDescent="0.3">
      <c r="A122" s="5" t="s">
        <v>25</v>
      </c>
      <c r="B122" s="6">
        <v>0.79689392361111111</v>
      </c>
      <c r="C122">
        <v>4.6399999999999997</v>
      </c>
      <c r="D122">
        <v>0.01</v>
      </c>
      <c r="E122">
        <v>7.5</v>
      </c>
      <c r="F122">
        <v>0</v>
      </c>
      <c r="G122">
        <v>0.03</v>
      </c>
      <c r="H122">
        <v>0.14000000000000001</v>
      </c>
      <c r="I122">
        <v>0.08</v>
      </c>
      <c r="J122">
        <v>0.18</v>
      </c>
      <c r="K122">
        <v>60.006999999999998</v>
      </c>
      <c r="L122" s="5" t="s">
        <v>19</v>
      </c>
    </row>
    <row r="123" spans="1:12" x14ac:dyDescent="0.3">
      <c r="A123" s="5" t="s">
        <v>25</v>
      </c>
      <c r="B123" s="6">
        <v>0.79690549768518515</v>
      </c>
      <c r="C123">
        <v>5.01</v>
      </c>
      <c r="D123">
        <v>0.01</v>
      </c>
      <c r="E123">
        <v>7.8</v>
      </c>
      <c r="F123">
        <v>0</v>
      </c>
      <c r="G123">
        <v>0.03</v>
      </c>
      <c r="H123">
        <v>0.14000000000000001</v>
      </c>
      <c r="I123">
        <v>0.08</v>
      </c>
      <c r="J123">
        <v>0.18</v>
      </c>
      <c r="K123">
        <v>60.006</v>
      </c>
      <c r="L123" s="5" t="s">
        <v>19</v>
      </c>
    </row>
    <row r="124" spans="1:12" x14ac:dyDescent="0.3">
      <c r="A124" s="5" t="s">
        <v>25</v>
      </c>
      <c r="B124" s="6">
        <v>0.7969170717592593</v>
      </c>
      <c r="C124">
        <v>4.63</v>
      </c>
      <c r="D124">
        <v>0.01</v>
      </c>
      <c r="E124">
        <v>6.7</v>
      </c>
      <c r="F124">
        <v>0</v>
      </c>
      <c r="G124">
        <v>0.03</v>
      </c>
      <c r="H124">
        <v>0.14000000000000001</v>
      </c>
      <c r="I124">
        <v>0.08</v>
      </c>
      <c r="J124">
        <v>0.18</v>
      </c>
      <c r="K124">
        <v>60.006</v>
      </c>
      <c r="L124" s="5" t="s">
        <v>19</v>
      </c>
    </row>
    <row r="125" spans="1:12" x14ac:dyDescent="0.3">
      <c r="A125" s="5" t="s">
        <v>25</v>
      </c>
      <c r="B125" s="6">
        <v>0.79692864583333334</v>
      </c>
      <c r="C125">
        <v>4.6399999999999997</v>
      </c>
      <c r="D125">
        <v>0.01</v>
      </c>
      <c r="E125">
        <v>6.6</v>
      </c>
      <c r="F125">
        <v>0</v>
      </c>
      <c r="G125">
        <v>0.03</v>
      </c>
      <c r="H125">
        <v>0.14000000000000001</v>
      </c>
      <c r="I125">
        <v>0.08</v>
      </c>
      <c r="J125">
        <v>0.18</v>
      </c>
      <c r="K125">
        <v>60.003999999999998</v>
      </c>
      <c r="L125" s="5" t="s">
        <v>19</v>
      </c>
    </row>
    <row r="126" spans="1:12" x14ac:dyDescent="0.3">
      <c r="A126" s="5" t="s">
        <v>25</v>
      </c>
      <c r="B126" s="6">
        <v>0.79694021990740738</v>
      </c>
      <c r="C126">
        <v>4.6399999999999997</v>
      </c>
      <c r="D126">
        <v>0.01</v>
      </c>
      <c r="E126">
        <v>6.6</v>
      </c>
      <c r="F126">
        <v>0</v>
      </c>
      <c r="G126">
        <v>0.03</v>
      </c>
      <c r="H126">
        <v>0.14000000000000001</v>
      </c>
      <c r="I126">
        <v>0.08</v>
      </c>
      <c r="J126">
        <v>0.18</v>
      </c>
      <c r="K126">
        <v>60.003999999999998</v>
      </c>
      <c r="L126" s="5" t="s">
        <v>19</v>
      </c>
    </row>
    <row r="127" spans="1:12" x14ac:dyDescent="0.3">
      <c r="A127" s="5" t="s">
        <v>25</v>
      </c>
      <c r="B127" s="6">
        <v>0.79695179398148153</v>
      </c>
      <c r="C127">
        <v>4.63</v>
      </c>
      <c r="D127">
        <v>0.01</v>
      </c>
      <c r="E127">
        <v>6.6</v>
      </c>
      <c r="F127">
        <v>0</v>
      </c>
      <c r="G127">
        <v>0.03</v>
      </c>
      <c r="H127">
        <v>0.14000000000000001</v>
      </c>
      <c r="I127">
        <v>0.08</v>
      </c>
      <c r="J127">
        <v>0.18</v>
      </c>
      <c r="K127">
        <v>60.003</v>
      </c>
      <c r="L127" s="5" t="s">
        <v>19</v>
      </c>
    </row>
    <row r="128" spans="1:12" x14ac:dyDescent="0.3">
      <c r="A128" s="5" t="s">
        <v>25</v>
      </c>
      <c r="B128" s="6">
        <v>0.79696336805555557</v>
      </c>
      <c r="C128">
        <v>4.6100000000000003</v>
      </c>
      <c r="D128">
        <v>0.01</v>
      </c>
      <c r="E128">
        <v>6.6</v>
      </c>
      <c r="F128">
        <v>0</v>
      </c>
      <c r="G128">
        <v>0.03</v>
      </c>
      <c r="H128">
        <v>0.14000000000000001</v>
      </c>
      <c r="I128">
        <v>0.08</v>
      </c>
      <c r="J128">
        <v>0.18</v>
      </c>
      <c r="K128">
        <v>60.003</v>
      </c>
      <c r="L128" s="5" t="s">
        <v>19</v>
      </c>
    </row>
    <row r="129" spans="1:12" x14ac:dyDescent="0.3">
      <c r="A129" s="5" t="s">
        <v>25</v>
      </c>
      <c r="B129" s="6">
        <v>0.7969749421296296</v>
      </c>
      <c r="C129">
        <v>4.62</v>
      </c>
      <c r="D129">
        <v>0.01</v>
      </c>
      <c r="E129">
        <v>6.6</v>
      </c>
      <c r="F129">
        <v>0</v>
      </c>
      <c r="G129">
        <v>0.03</v>
      </c>
      <c r="H129">
        <v>0.14000000000000001</v>
      </c>
      <c r="I129">
        <v>0.08</v>
      </c>
      <c r="J129">
        <v>0.18</v>
      </c>
      <c r="K129">
        <v>60.002000000000002</v>
      </c>
      <c r="L129" s="5" t="s">
        <v>19</v>
      </c>
    </row>
    <row r="130" spans="1:12" x14ac:dyDescent="0.3">
      <c r="A130" s="5" t="s">
        <v>25</v>
      </c>
      <c r="B130" s="6">
        <v>0.79698651620370375</v>
      </c>
      <c r="C130">
        <v>4.63</v>
      </c>
      <c r="D130">
        <v>0.01</v>
      </c>
      <c r="E130">
        <v>6.6</v>
      </c>
      <c r="F130">
        <v>0</v>
      </c>
      <c r="G130">
        <v>0.03</v>
      </c>
      <c r="H130">
        <v>0.14000000000000001</v>
      </c>
      <c r="I130">
        <v>0.08</v>
      </c>
      <c r="J130">
        <v>0.18</v>
      </c>
      <c r="K130">
        <v>60.000999999999998</v>
      </c>
      <c r="L130" s="5" t="s">
        <v>19</v>
      </c>
    </row>
    <row r="131" spans="1:12" x14ac:dyDescent="0.3">
      <c r="A131" s="5" t="s">
        <v>25</v>
      </c>
      <c r="B131" s="6">
        <v>0.79699809027777779</v>
      </c>
      <c r="C131">
        <v>4.6399999999999997</v>
      </c>
      <c r="D131">
        <v>0.01</v>
      </c>
      <c r="E131">
        <v>6.6</v>
      </c>
      <c r="F131">
        <v>0</v>
      </c>
      <c r="G131">
        <v>0.03</v>
      </c>
      <c r="H131">
        <v>0.14000000000000001</v>
      </c>
      <c r="I131">
        <v>0.08</v>
      </c>
      <c r="J131">
        <v>0.18</v>
      </c>
      <c r="K131">
        <v>60.002000000000002</v>
      </c>
      <c r="L131" s="5" t="s">
        <v>19</v>
      </c>
    </row>
    <row r="132" spans="1:12" x14ac:dyDescent="0.3">
      <c r="A132" s="5" t="s">
        <v>25</v>
      </c>
      <c r="B132" s="6">
        <v>0.79700966435185183</v>
      </c>
      <c r="C132">
        <v>4.62</v>
      </c>
      <c r="D132">
        <v>0.01</v>
      </c>
      <c r="E132">
        <v>6.6</v>
      </c>
      <c r="F132">
        <v>0</v>
      </c>
      <c r="G132">
        <v>0.03</v>
      </c>
      <c r="H132">
        <v>0.14000000000000001</v>
      </c>
      <c r="I132">
        <v>0.08</v>
      </c>
      <c r="J132">
        <v>0.18</v>
      </c>
      <c r="K132">
        <v>60</v>
      </c>
      <c r="L132" s="5" t="s">
        <v>19</v>
      </c>
    </row>
    <row r="133" spans="1:12" x14ac:dyDescent="0.3">
      <c r="A133" s="5" t="s">
        <v>25</v>
      </c>
      <c r="B133" s="6">
        <v>0.79702123842592587</v>
      </c>
      <c r="C133">
        <v>4.6100000000000003</v>
      </c>
      <c r="D133">
        <v>0.01</v>
      </c>
      <c r="E133">
        <v>6.6</v>
      </c>
      <c r="F133">
        <v>0</v>
      </c>
      <c r="G133">
        <v>0.03</v>
      </c>
      <c r="H133">
        <v>0.14000000000000001</v>
      </c>
      <c r="I133">
        <v>0.08</v>
      </c>
      <c r="J133">
        <v>0.18</v>
      </c>
      <c r="K133">
        <v>60.000999999999998</v>
      </c>
      <c r="L133" s="5" t="s">
        <v>19</v>
      </c>
    </row>
    <row r="134" spans="1:12" x14ac:dyDescent="0.3">
      <c r="A134" s="5" t="s">
        <v>25</v>
      </c>
      <c r="B134" s="6">
        <v>0.79703281250000002</v>
      </c>
      <c r="C134">
        <v>4.62</v>
      </c>
      <c r="D134">
        <v>0.01</v>
      </c>
      <c r="E134">
        <v>6.6</v>
      </c>
      <c r="F134">
        <v>0</v>
      </c>
      <c r="G134">
        <v>0.03</v>
      </c>
      <c r="H134">
        <v>0.14000000000000001</v>
      </c>
      <c r="I134">
        <v>0.08</v>
      </c>
      <c r="J134">
        <v>0.18</v>
      </c>
      <c r="K134">
        <v>60</v>
      </c>
      <c r="L134" s="5" t="s">
        <v>19</v>
      </c>
    </row>
    <row r="135" spans="1:12" x14ac:dyDescent="0.3">
      <c r="A135" s="5" t="s">
        <v>25</v>
      </c>
      <c r="B135" s="6">
        <v>0.79704438657407406</v>
      </c>
      <c r="C135">
        <v>4.62</v>
      </c>
      <c r="D135">
        <v>0.01</v>
      </c>
      <c r="E135">
        <v>6.6</v>
      </c>
      <c r="F135">
        <v>0</v>
      </c>
      <c r="G135">
        <v>0.03</v>
      </c>
      <c r="H135">
        <v>0.14000000000000001</v>
      </c>
      <c r="I135">
        <v>0.08</v>
      </c>
      <c r="J135">
        <v>0.18</v>
      </c>
      <c r="K135">
        <v>60</v>
      </c>
      <c r="L135" s="5" t="s">
        <v>19</v>
      </c>
    </row>
    <row r="136" spans="1:12" x14ac:dyDescent="0.3">
      <c r="A136" s="5" t="s">
        <v>25</v>
      </c>
      <c r="B136" s="6">
        <v>0.7970559606481481</v>
      </c>
      <c r="C136">
        <v>4.6100000000000003</v>
      </c>
      <c r="D136">
        <v>0.01</v>
      </c>
      <c r="E136">
        <v>6.6</v>
      </c>
      <c r="F136">
        <v>0</v>
      </c>
      <c r="G136">
        <v>0.03</v>
      </c>
      <c r="H136">
        <v>0.14000000000000001</v>
      </c>
      <c r="I136">
        <v>0.08</v>
      </c>
      <c r="J136">
        <v>0.18</v>
      </c>
      <c r="K136">
        <v>59.999000000000002</v>
      </c>
      <c r="L136" s="5" t="s">
        <v>19</v>
      </c>
    </row>
    <row r="137" spans="1:12" x14ac:dyDescent="0.3">
      <c r="A137" s="5" t="s">
        <v>25</v>
      </c>
      <c r="B137" s="6">
        <v>0.79706753472222225</v>
      </c>
      <c r="C137">
        <v>4.63</v>
      </c>
      <c r="D137">
        <v>0.01</v>
      </c>
      <c r="E137">
        <v>6.6</v>
      </c>
      <c r="F137">
        <v>0</v>
      </c>
      <c r="G137">
        <v>0.03</v>
      </c>
      <c r="H137">
        <v>0.14000000000000001</v>
      </c>
      <c r="I137">
        <v>0.08</v>
      </c>
      <c r="J137">
        <v>0.18</v>
      </c>
      <c r="K137">
        <v>59.997999999999998</v>
      </c>
      <c r="L137" s="5" t="s">
        <v>19</v>
      </c>
    </row>
    <row r="138" spans="1:12" x14ac:dyDescent="0.3">
      <c r="A138" s="5" t="s">
        <v>25</v>
      </c>
      <c r="B138" s="6">
        <v>0.79707910879629629</v>
      </c>
      <c r="C138">
        <v>4.62</v>
      </c>
      <c r="D138">
        <v>0.01</v>
      </c>
      <c r="E138">
        <v>6.6</v>
      </c>
      <c r="F138">
        <v>0</v>
      </c>
      <c r="G138">
        <v>0.03</v>
      </c>
      <c r="H138">
        <v>0.14000000000000001</v>
      </c>
      <c r="I138">
        <v>0.08</v>
      </c>
      <c r="J138">
        <v>0.18</v>
      </c>
      <c r="K138">
        <v>59.997</v>
      </c>
      <c r="L138" s="5" t="s">
        <v>19</v>
      </c>
    </row>
    <row r="139" spans="1:12" x14ac:dyDescent="0.3">
      <c r="A139" s="5" t="s">
        <v>25</v>
      </c>
      <c r="B139" s="6">
        <v>0.79709068287037033</v>
      </c>
      <c r="C139">
        <v>4.6100000000000003</v>
      </c>
      <c r="D139">
        <v>0.01</v>
      </c>
      <c r="E139">
        <v>6.6</v>
      </c>
      <c r="F139">
        <v>0</v>
      </c>
      <c r="G139">
        <v>0.03</v>
      </c>
      <c r="H139">
        <v>0.14000000000000001</v>
      </c>
      <c r="I139">
        <v>0.08</v>
      </c>
      <c r="J139">
        <v>0.18</v>
      </c>
      <c r="K139">
        <v>59.997</v>
      </c>
      <c r="L139" s="5" t="s">
        <v>19</v>
      </c>
    </row>
    <row r="140" spans="1:12" x14ac:dyDescent="0.3">
      <c r="A140" s="5" t="s">
        <v>25</v>
      </c>
      <c r="B140" s="6">
        <v>0.79710225694444448</v>
      </c>
      <c r="C140">
        <v>4.59</v>
      </c>
      <c r="D140">
        <v>0.01</v>
      </c>
      <c r="E140">
        <v>6.6</v>
      </c>
      <c r="F140">
        <v>0</v>
      </c>
      <c r="G140">
        <v>0.03</v>
      </c>
      <c r="H140">
        <v>0.14000000000000001</v>
      </c>
      <c r="I140">
        <v>0.08</v>
      </c>
      <c r="J140">
        <v>0.18</v>
      </c>
      <c r="K140">
        <v>59.996000000000002</v>
      </c>
      <c r="L140" s="5" t="s">
        <v>19</v>
      </c>
    </row>
    <row r="141" spans="1:12" x14ac:dyDescent="0.3">
      <c r="A141" s="5" t="s">
        <v>25</v>
      </c>
      <c r="B141" s="6">
        <v>0.79711383101851851</v>
      </c>
      <c r="C141">
        <v>4.59</v>
      </c>
      <c r="D141">
        <v>0.01</v>
      </c>
      <c r="E141">
        <v>6.6</v>
      </c>
      <c r="F141">
        <v>0</v>
      </c>
      <c r="G141">
        <v>0.03</v>
      </c>
      <c r="H141">
        <v>0.14000000000000001</v>
      </c>
      <c r="I141">
        <v>0.08</v>
      </c>
      <c r="J141">
        <v>0.18</v>
      </c>
      <c r="K141">
        <v>59.996000000000002</v>
      </c>
      <c r="L141" s="5" t="s">
        <v>19</v>
      </c>
    </row>
    <row r="142" spans="1:12" x14ac:dyDescent="0.3">
      <c r="A142" s="5" t="s">
        <v>25</v>
      </c>
      <c r="B142" s="6">
        <v>0.79712540509259255</v>
      </c>
      <c r="C142">
        <v>4.5999999999999996</v>
      </c>
      <c r="D142">
        <v>0.01</v>
      </c>
      <c r="E142">
        <v>6.6</v>
      </c>
      <c r="F142">
        <v>0</v>
      </c>
      <c r="G142">
        <v>0.03</v>
      </c>
      <c r="H142">
        <v>0.14000000000000001</v>
      </c>
      <c r="I142">
        <v>0.08</v>
      </c>
      <c r="J142">
        <v>0.18</v>
      </c>
      <c r="K142">
        <v>59.994999999999997</v>
      </c>
      <c r="L142" s="5" t="s">
        <v>19</v>
      </c>
    </row>
    <row r="143" spans="1:12" x14ac:dyDescent="0.3">
      <c r="A143" s="5" t="s">
        <v>25</v>
      </c>
      <c r="B143" s="6">
        <v>0.7971369791666667</v>
      </c>
      <c r="C143">
        <v>4.5999999999999996</v>
      </c>
      <c r="D143">
        <v>0.01</v>
      </c>
      <c r="E143">
        <v>6.6</v>
      </c>
      <c r="F143">
        <v>0</v>
      </c>
      <c r="G143">
        <v>0.03</v>
      </c>
      <c r="H143">
        <v>0.14000000000000001</v>
      </c>
      <c r="I143">
        <v>0.08</v>
      </c>
      <c r="J143">
        <v>0.18</v>
      </c>
      <c r="K143">
        <v>59.994999999999997</v>
      </c>
      <c r="L143" s="5" t="s">
        <v>19</v>
      </c>
    </row>
    <row r="144" spans="1:12" x14ac:dyDescent="0.3">
      <c r="A144" s="5" t="s">
        <v>25</v>
      </c>
      <c r="B144" s="6">
        <v>0.79714855324074074</v>
      </c>
      <c r="C144">
        <v>4.5999999999999996</v>
      </c>
      <c r="D144">
        <v>0.01</v>
      </c>
      <c r="E144">
        <v>6.6</v>
      </c>
      <c r="F144">
        <v>0</v>
      </c>
      <c r="G144">
        <v>0.03</v>
      </c>
      <c r="H144">
        <v>0.14000000000000001</v>
      </c>
      <c r="I144">
        <v>0.08</v>
      </c>
      <c r="J144">
        <v>0.18</v>
      </c>
      <c r="K144">
        <v>59.994999999999997</v>
      </c>
      <c r="L144" s="5" t="s">
        <v>19</v>
      </c>
    </row>
    <row r="145" spans="1:12" x14ac:dyDescent="0.3">
      <c r="A145" s="5" t="s">
        <v>25</v>
      </c>
      <c r="B145" s="6">
        <v>0.79716012731481478</v>
      </c>
      <c r="C145">
        <v>4.5999999999999996</v>
      </c>
      <c r="D145">
        <v>0.01</v>
      </c>
      <c r="E145">
        <v>6.6</v>
      </c>
      <c r="F145">
        <v>0</v>
      </c>
      <c r="G145">
        <v>0.03</v>
      </c>
      <c r="H145">
        <v>0.14000000000000001</v>
      </c>
      <c r="I145">
        <v>0.08</v>
      </c>
      <c r="J145">
        <v>0.18</v>
      </c>
      <c r="K145">
        <v>59.994999999999997</v>
      </c>
      <c r="L145" s="5" t="s">
        <v>19</v>
      </c>
    </row>
    <row r="146" spans="1:12" x14ac:dyDescent="0.3">
      <c r="A146" s="5" t="s">
        <v>25</v>
      </c>
      <c r="B146" s="6">
        <v>0.79717170138888893</v>
      </c>
      <c r="C146">
        <v>4.58</v>
      </c>
      <c r="D146">
        <v>0.01</v>
      </c>
      <c r="E146">
        <v>6.6</v>
      </c>
      <c r="F146">
        <v>0</v>
      </c>
      <c r="G146">
        <v>0.03</v>
      </c>
      <c r="H146">
        <v>0.14000000000000001</v>
      </c>
      <c r="I146">
        <v>0.08</v>
      </c>
      <c r="J146">
        <v>0.18</v>
      </c>
      <c r="K146">
        <v>59.994999999999997</v>
      </c>
      <c r="L146" s="5" t="s">
        <v>19</v>
      </c>
    </row>
    <row r="147" spans="1:12" x14ac:dyDescent="0.3">
      <c r="A147" s="5" t="s">
        <v>25</v>
      </c>
      <c r="B147" s="6">
        <v>0.79718327546296297</v>
      </c>
      <c r="C147">
        <v>4.58</v>
      </c>
      <c r="D147">
        <v>0.01</v>
      </c>
      <c r="E147">
        <v>6.6</v>
      </c>
      <c r="F147">
        <v>0</v>
      </c>
      <c r="G147">
        <v>0.03</v>
      </c>
      <c r="H147">
        <v>0.14000000000000001</v>
      </c>
      <c r="I147">
        <v>0.08</v>
      </c>
      <c r="J147">
        <v>0.18</v>
      </c>
      <c r="K147">
        <v>59.994999999999997</v>
      </c>
      <c r="L147" s="5" t="s">
        <v>19</v>
      </c>
    </row>
    <row r="148" spans="1:12" x14ac:dyDescent="0.3">
      <c r="A148" s="5" t="s">
        <v>25</v>
      </c>
      <c r="B148" s="6">
        <v>0.79719484953703701</v>
      </c>
      <c r="C148">
        <v>4.59</v>
      </c>
      <c r="D148">
        <v>0.01</v>
      </c>
      <c r="E148">
        <v>6.6</v>
      </c>
      <c r="F148">
        <v>0</v>
      </c>
      <c r="G148">
        <v>0.03</v>
      </c>
      <c r="H148">
        <v>0.14000000000000001</v>
      </c>
      <c r="I148">
        <v>0.08</v>
      </c>
      <c r="J148">
        <v>0.18</v>
      </c>
      <c r="K148">
        <v>59.994999999999997</v>
      </c>
      <c r="L148" s="5" t="s">
        <v>19</v>
      </c>
    </row>
    <row r="149" spans="1:12" x14ac:dyDescent="0.3">
      <c r="A149" s="5" t="s">
        <v>25</v>
      </c>
      <c r="B149" s="6">
        <v>0.79720642361111116</v>
      </c>
      <c r="C149">
        <v>4.6100000000000003</v>
      </c>
      <c r="D149">
        <v>0.01</v>
      </c>
      <c r="E149">
        <v>6.6</v>
      </c>
      <c r="F149">
        <v>0</v>
      </c>
      <c r="G149">
        <v>0.03</v>
      </c>
      <c r="H149">
        <v>0.14000000000000001</v>
      </c>
      <c r="I149">
        <v>0.08</v>
      </c>
      <c r="J149">
        <v>0.18</v>
      </c>
      <c r="K149">
        <v>59.994999999999997</v>
      </c>
      <c r="L149" s="5" t="s">
        <v>19</v>
      </c>
    </row>
    <row r="150" spans="1:12" x14ac:dyDescent="0.3">
      <c r="A150" s="5" t="s">
        <v>25</v>
      </c>
      <c r="B150" s="6">
        <v>0.7972179976851852</v>
      </c>
      <c r="C150">
        <v>4.5999999999999996</v>
      </c>
      <c r="D150">
        <v>0.01</v>
      </c>
      <c r="E150">
        <v>6.6</v>
      </c>
      <c r="F150">
        <v>0</v>
      </c>
      <c r="G150">
        <v>0.03</v>
      </c>
      <c r="H150">
        <v>0.14000000000000001</v>
      </c>
      <c r="I150">
        <v>0.08</v>
      </c>
      <c r="J150">
        <v>0.18</v>
      </c>
      <c r="K150">
        <v>59.994999999999997</v>
      </c>
      <c r="L150" s="5" t="s">
        <v>19</v>
      </c>
    </row>
    <row r="151" spans="1:12" x14ac:dyDescent="0.3">
      <c r="A151" s="5" t="s">
        <v>25</v>
      </c>
      <c r="B151" s="6">
        <v>0.79722957175925924</v>
      </c>
      <c r="C151">
        <v>4.5999999999999996</v>
      </c>
      <c r="D151">
        <v>0.01</v>
      </c>
      <c r="E151">
        <v>6.6</v>
      </c>
      <c r="F151">
        <v>0</v>
      </c>
      <c r="G151">
        <v>0.03</v>
      </c>
      <c r="H151">
        <v>0.14000000000000001</v>
      </c>
      <c r="I151">
        <v>0.08</v>
      </c>
      <c r="J151">
        <v>0.18</v>
      </c>
      <c r="K151">
        <v>59.994999999999997</v>
      </c>
      <c r="L151" s="5" t="s">
        <v>19</v>
      </c>
    </row>
    <row r="152" spans="1:12" x14ac:dyDescent="0.3">
      <c r="A152" s="5" t="s">
        <v>25</v>
      </c>
      <c r="B152" s="6">
        <v>0.79724114583333339</v>
      </c>
      <c r="C152">
        <v>4.6100000000000003</v>
      </c>
      <c r="D152">
        <v>0.01</v>
      </c>
      <c r="E152">
        <v>6.6</v>
      </c>
      <c r="F152">
        <v>0</v>
      </c>
      <c r="G152">
        <v>0.03</v>
      </c>
      <c r="H152">
        <v>0.14000000000000001</v>
      </c>
      <c r="I152">
        <v>0.08</v>
      </c>
      <c r="J152">
        <v>0.18</v>
      </c>
      <c r="K152">
        <v>59.996000000000002</v>
      </c>
      <c r="L152" s="5" t="s">
        <v>19</v>
      </c>
    </row>
    <row r="153" spans="1:12" x14ac:dyDescent="0.3">
      <c r="A153" s="5" t="s">
        <v>25</v>
      </c>
      <c r="B153" s="6">
        <v>0.79725271990740743</v>
      </c>
      <c r="C153">
        <v>4.7699999999999996</v>
      </c>
      <c r="D153">
        <v>0.01</v>
      </c>
      <c r="E153">
        <v>7.1</v>
      </c>
      <c r="F153">
        <v>0</v>
      </c>
      <c r="G153">
        <v>0.03</v>
      </c>
      <c r="H153">
        <v>0.14000000000000001</v>
      </c>
      <c r="I153">
        <v>0.08</v>
      </c>
      <c r="J153">
        <v>0.18</v>
      </c>
      <c r="K153">
        <v>59.994999999999997</v>
      </c>
      <c r="L153" s="5" t="s">
        <v>19</v>
      </c>
    </row>
    <row r="154" spans="1:12" x14ac:dyDescent="0.3">
      <c r="A154" s="5" t="s">
        <v>25</v>
      </c>
      <c r="B154" s="6">
        <v>0.79726429398148146</v>
      </c>
      <c r="C154">
        <v>4.79</v>
      </c>
      <c r="D154">
        <v>0.01</v>
      </c>
      <c r="E154">
        <v>7.5</v>
      </c>
      <c r="F154">
        <v>0</v>
      </c>
      <c r="G154">
        <v>0.03</v>
      </c>
      <c r="H154">
        <v>0.14000000000000001</v>
      </c>
      <c r="I154">
        <v>0.08</v>
      </c>
      <c r="J154">
        <v>0.18</v>
      </c>
      <c r="K154">
        <v>59.996000000000002</v>
      </c>
      <c r="L154" s="5" t="s">
        <v>19</v>
      </c>
    </row>
    <row r="155" spans="1:12" x14ac:dyDescent="0.3">
      <c r="A155" s="5" t="s">
        <v>25</v>
      </c>
      <c r="B155" s="6">
        <v>0.7972758680555555</v>
      </c>
      <c r="C155">
        <v>4.58</v>
      </c>
      <c r="D155">
        <v>0.01</v>
      </c>
      <c r="E155">
        <v>7.3</v>
      </c>
      <c r="F155">
        <v>0</v>
      </c>
      <c r="G155">
        <v>0.03</v>
      </c>
      <c r="H155">
        <v>0.14000000000000001</v>
      </c>
      <c r="I155">
        <v>0.08</v>
      </c>
      <c r="J155">
        <v>0.18</v>
      </c>
      <c r="K155">
        <v>59.997</v>
      </c>
      <c r="L155" s="5" t="s">
        <v>19</v>
      </c>
    </row>
    <row r="156" spans="1:12" x14ac:dyDescent="0.3">
      <c r="A156" s="5" t="s">
        <v>25</v>
      </c>
      <c r="B156" s="6">
        <v>0.79728744212962965</v>
      </c>
      <c r="C156">
        <v>4.8</v>
      </c>
      <c r="D156">
        <v>0.01</v>
      </c>
      <c r="E156">
        <v>7.5</v>
      </c>
      <c r="F156">
        <v>0</v>
      </c>
      <c r="G156">
        <v>0.03</v>
      </c>
      <c r="H156">
        <v>0.14000000000000001</v>
      </c>
      <c r="I156">
        <v>0.08</v>
      </c>
      <c r="J156">
        <v>0.18</v>
      </c>
      <c r="K156">
        <v>59.996000000000002</v>
      </c>
      <c r="L156" s="5" t="s">
        <v>19</v>
      </c>
    </row>
    <row r="157" spans="1:12" x14ac:dyDescent="0.3">
      <c r="A157" s="5" t="s">
        <v>25</v>
      </c>
      <c r="B157" s="6">
        <v>0.79729901620370369</v>
      </c>
      <c r="C157">
        <v>4.58</v>
      </c>
      <c r="D157">
        <v>0.01</v>
      </c>
      <c r="E157">
        <v>7.3</v>
      </c>
      <c r="F157">
        <v>0</v>
      </c>
      <c r="G157">
        <v>0.03</v>
      </c>
      <c r="H157">
        <v>0.14000000000000001</v>
      </c>
      <c r="I157">
        <v>0.08</v>
      </c>
      <c r="J157">
        <v>0.18</v>
      </c>
      <c r="K157">
        <v>59.997</v>
      </c>
      <c r="L157" s="5" t="s">
        <v>19</v>
      </c>
    </row>
    <row r="158" spans="1:12" x14ac:dyDescent="0.3">
      <c r="A158" s="5" t="s">
        <v>25</v>
      </c>
      <c r="B158" s="6">
        <v>0.79731059027777773</v>
      </c>
      <c r="C158">
        <v>4.66</v>
      </c>
      <c r="D158">
        <v>0.01</v>
      </c>
      <c r="E158">
        <v>7.4</v>
      </c>
      <c r="F158">
        <v>0</v>
      </c>
      <c r="G158">
        <v>0.03</v>
      </c>
      <c r="H158">
        <v>0.14000000000000001</v>
      </c>
      <c r="I158">
        <v>0.08</v>
      </c>
      <c r="J158">
        <v>0.18</v>
      </c>
      <c r="K158">
        <v>59.997999999999998</v>
      </c>
      <c r="L158" s="5" t="s">
        <v>19</v>
      </c>
    </row>
    <row r="159" spans="1:12" x14ac:dyDescent="0.3">
      <c r="A159" s="5" t="s">
        <v>25</v>
      </c>
      <c r="B159" s="6">
        <v>0.79732216435185188</v>
      </c>
      <c r="C159">
        <v>4.6900000000000004</v>
      </c>
      <c r="D159">
        <v>0.01</v>
      </c>
      <c r="E159">
        <v>7.4</v>
      </c>
      <c r="F159">
        <v>0</v>
      </c>
      <c r="G159">
        <v>0.03</v>
      </c>
      <c r="H159">
        <v>0.14000000000000001</v>
      </c>
      <c r="I159">
        <v>0.08</v>
      </c>
      <c r="J159">
        <v>0.18</v>
      </c>
      <c r="K159">
        <v>59.997999999999998</v>
      </c>
      <c r="L159" s="5" t="s">
        <v>19</v>
      </c>
    </row>
    <row r="160" spans="1:12" x14ac:dyDescent="0.3">
      <c r="A160" s="5" t="s">
        <v>25</v>
      </c>
      <c r="B160" s="6">
        <v>0.79733373842592592</v>
      </c>
      <c r="C160">
        <v>4.59</v>
      </c>
      <c r="D160">
        <v>0.01</v>
      </c>
      <c r="E160">
        <v>7.4</v>
      </c>
      <c r="F160">
        <v>0</v>
      </c>
      <c r="G160">
        <v>0.03</v>
      </c>
      <c r="H160">
        <v>0.14000000000000001</v>
      </c>
      <c r="I160">
        <v>0.08</v>
      </c>
      <c r="J160">
        <v>0.18</v>
      </c>
      <c r="K160">
        <v>59.999000000000002</v>
      </c>
      <c r="L160" s="5" t="s">
        <v>19</v>
      </c>
    </row>
    <row r="161" spans="1:12" x14ac:dyDescent="0.3">
      <c r="A161" s="5" t="s">
        <v>25</v>
      </c>
      <c r="B161" s="6">
        <v>0.79734531249999996</v>
      </c>
      <c r="C161">
        <v>4.8099999999999996</v>
      </c>
      <c r="D161">
        <v>0.01</v>
      </c>
      <c r="E161">
        <v>7.6</v>
      </c>
      <c r="F161">
        <v>0</v>
      </c>
      <c r="G161">
        <v>0.03</v>
      </c>
      <c r="H161">
        <v>0.14000000000000001</v>
      </c>
      <c r="I161">
        <v>0.08</v>
      </c>
      <c r="J161">
        <v>0.18</v>
      </c>
      <c r="K161">
        <v>59.999000000000002</v>
      </c>
      <c r="L161" s="5" t="s">
        <v>19</v>
      </c>
    </row>
    <row r="162" spans="1:12" x14ac:dyDescent="0.3">
      <c r="A162" s="5" t="s">
        <v>25</v>
      </c>
      <c r="B162" s="6">
        <v>0.79735688657407411</v>
      </c>
      <c r="C162">
        <v>3.71</v>
      </c>
      <c r="D162">
        <v>0.01</v>
      </c>
      <c r="E162">
        <v>6</v>
      </c>
      <c r="F162">
        <v>0</v>
      </c>
      <c r="G162">
        <v>0.03</v>
      </c>
      <c r="H162">
        <v>0.14000000000000001</v>
      </c>
      <c r="I162">
        <v>0.08</v>
      </c>
      <c r="J162">
        <v>0.18</v>
      </c>
      <c r="K162">
        <v>60.002000000000002</v>
      </c>
      <c r="L162" s="5" t="s">
        <v>19</v>
      </c>
    </row>
    <row r="163" spans="1:12" x14ac:dyDescent="0.3">
      <c r="A163" s="5" t="s">
        <v>25</v>
      </c>
      <c r="B163" s="6">
        <v>0.79736846064814815</v>
      </c>
      <c r="C163">
        <v>4.4800000000000004</v>
      </c>
      <c r="D163">
        <v>0.01</v>
      </c>
      <c r="E163">
        <v>7.2</v>
      </c>
      <c r="F163">
        <v>0</v>
      </c>
      <c r="G163">
        <v>0.03</v>
      </c>
      <c r="H163">
        <v>0.14000000000000001</v>
      </c>
      <c r="I163">
        <v>0.08</v>
      </c>
      <c r="J163">
        <v>0.18</v>
      </c>
      <c r="K163">
        <v>60.000999999999998</v>
      </c>
      <c r="L163" s="5" t="s">
        <v>19</v>
      </c>
    </row>
    <row r="164" spans="1:12" x14ac:dyDescent="0.3">
      <c r="A164" s="5" t="s">
        <v>25</v>
      </c>
      <c r="B164" s="6">
        <v>0.79738003472222219</v>
      </c>
      <c r="C164">
        <v>3.51</v>
      </c>
      <c r="D164">
        <v>0.01</v>
      </c>
      <c r="E164">
        <v>5.7</v>
      </c>
      <c r="F164">
        <v>0</v>
      </c>
      <c r="G164">
        <v>0.03</v>
      </c>
      <c r="H164">
        <v>0.14000000000000001</v>
      </c>
      <c r="I164">
        <v>0.08</v>
      </c>
      <c r="J164">
        <v>0.18</v>
      </c>
      <c r="K164">
        <v>60.002000000000002</v>
      </c>
      <c r="L164" s="5" t="s">
        <v>19</v>
      </c>
    </row>
    <row r="165" spans="1:12" x14ac:dyDescent="0.3">
      <c r="A165" s="5" t="s">
        <v>25</v>
      </c>
      <c r="B165" s="6">
        <v>0.79739160879629634</v>
      </c>
      <c r="C165">
        <v>4.24</v>
      </c>
      <c r="D165">
        <v>0.01</v>
      </c>
      <c r="E165">
        <v>6.9</v>
      </c>
      <c r="F165">
        <v>0</v>
      </c>
      <c r="G165">
        <v>0.03</v>
      </c>
      <c r="H165">
        <v>0.14000000000000001</v>
      </c>
      <c r="I165">
        <v>0.08</v>
      </c>
      <c r="J165">
        <v>0.18</v>
      </c>
      <c r="K165">
        <v>60.000999999999998</v>
      </c>
      <c r="L165" s="5" t="s">
        <v>19</v>
      </c>
    </row>
    <row r="166" spans="1:12" x14ac:dyDescent="0.3">
      <c r="A166" s="5" t="s">
        <v>25</v>
      </c>
      <c r="B166" s="6">
        <v>0.79740318287037038</v>
      </c>
      <c r="C166">
        <v>3.88</v>
      </c>
      <c r="D166">
        <v>0.01</v>
      </c>
      <c r="E166">
        <v>6.2</v>
      </c>
      <c r="F166">
        <v>0</v>
      </c>
      <c r="G166">
        <v>0.03</v>
      </c>
      <c r="H166">
        <v>0.14000000000000001</v>
      </c>
      <c r="I166">
        <v>0.08</v>
      </c>
      <c r="J166">
        <v>0.18</v>
      </c>
      <c r="K166">
        <v>60.003</v>
      </c>
      <c r="L166" s="5" t="s">
        <v>19</v>
      </c>
    </row>
    <row r="167" spans="1:12" x14ac:dyDescent="0.3">
      <c r="A167" s="5" t="s">
        <v>25</v>
      </c>
      <c r="B167" s="6">
        <v>0.79741475694444441</v>
      </c>
      <c r="C167">
        <v>3.94</v>
      </c>
      <c r="D167">
        <v>0.01</v>
      </c>
      <c r="E167">
        <v>6.3</v>
      </c>
      <c r="F167">
        <v>0</v>
      </c>
      <c r="G167">
        <v>0.03</v>
      </c>
      <c r="H167">
        <v>0.14000000000000001</v>
      </c>
      <c r="I167">
        <v>0.08</v>
      </c>
      <c r="J167">
        <v>0.18</v>
      </c>
      <c r="K167">
        <v>60.002000000000002</v>
      </c>
      <c r="L167" s="5" t="s">
        <v>19</v>
      </c>
    </row>
    <row r="168" spans="1:12" x14ac:dyDescent="0.3">
      <c r="A168" s="5" t="s">
        <v>25</v>
      </c>
      <c r="B168" s="6">
        <v>0.79742633101851856</v>
      </c>
      <c r="C168">
        <v>4.1500000000000004</v>
      </c>
      <c r="D168">
        <v>0.01</v>
      </c>
      <c r="E168">
        <v>6.6</v>
      </c>
      <c r="F168">
        <v>0</v>
      </c>
      <c r="G168">
        <v>0.03</v>
      </c>
      <c r="H168">
        <v>0.14000000000000001</v>
      </c>
      <c r="I168">
        <v>0.08</v>
      </c>
      <c r="J168">
        <v>0.18</v>
      </c>
      <c r="K168">
        <v>60.002000000000002</v>
      </c>
      <c r="L168" s="5" t="s">
        <v>19</v>
      </c>
    </row>
    <row r="169" spans="1:12" x14ac:dyDescent="0.3">
      <c r="A169" s="5" t="s">
        <v>25</v>
      </c>
      <c r="B169" s="6">
        <v>0.7974379050925926</v>
      </c>
      <c r="C169">
        <v>3.72</v>
      </c>
      <c r="D169">
        <v>0.01</v>
      </c>
      <c r="E169">
        <v>6.2</v>
      </c>
      <c r="F169">
        <v>0</v>
      </c>
      <c r="G169">
        <v>0.03</v>
      </c>
      <c r="H169">
        <v>0.14000000000000001</v>
      </c>
      <c r="I169">
        <v>0.08</v>
      </c>
      <c r="J169">
        <v>0.18</v>
      </c>
      <c r="K169">
        <v>60.003</v>
      </c>
      <c r="L169" s="5" t="s">
        <v>19</v>
      </c>
    </row>
    <row r="170" spans="1:12" x14ac:dyDescent="0.3">
      <c r="A170" s="5" t="s">
        <v>25</v>
      </c>
      <c r="B170" s="6">
        <v>0.79744947916666664</v>
      </c>
      <c r="C170">
        <v>4.57</v>
      </c>
      <c r="D170">
        <v>0.01</v>
      </c>
      <c r="E170">
        <v>7.3</v>
      </c>
      <c r="F170">
        <v>0</v>
      </c>
      <c r="G170">
        <v>0.03</v>
      </c>
      <c r="H170">
        <v>0.14000000000000001</v>
      </c>
      <c r="I170">
        <v>0.08</v>
      </c>
      <c r="J170">
        <v>0.18</v>
      </c>
      <c r="K170">
        <v>60.002000000000002</v>
      </c>
      <c r="L170" s="5" t="s">
        <v>19</v>
      </c>
    </row>
    <row r="171" spans="1:12" x14ac:dyDescent="0.3">
      <c r="A171" s="5" t="s">
        <v>25</v>
      </c>
      <c r="B171" s="6">
        <v>0.79746105324074079</v>
      </c>
      <c r="C171">
        <v>3.63</v>
      </c>
      <c r="D171">
        <v>0.01</v>
      </c>
      <c r="E171">
        <v>5.9</v>
      </c>
      <c r="F171">
        <v>0</v>
      </c>
      <c r="G171">
        <v>0.03</v>
      </c>
      <c r="H171">
        <v>0.14000000000000001</v>
      </c>
      <c r="I171">
        <v>0.08</v>
      </c>
      <c r="J171">
        <v>0.18</v>
      </c>
      <c r="K171">
        <v>60.003999999999998</v>
      </c>
      <c r="L171" s="5" t="s">
        <v>19</v>
      </c>
    </row>
    <row r="172" spans="1:12" x14ac:dyDescent="0.3">
      <c r="A172" s="5" t="s">
        <v>25</v>
      </c>
      <c r="B172" s="6">
        <v>0.79747262731481483</v>
      </c>
      <c r="C172">
        <v>4.4000000000000004</v>
      </c>
      <c r="D172">
        <v>0.01</v>
      </c>
      <c r="E172">
        <v>7.1</v>
      </c>
      <c r="F172">
        <v>0</v>
      </c>
      <c r="G172">
        <v>0.03</v>
      </c>
      <c r="H172">
        <v>0.14000000000000001</v>
      </c>
      <c r="I172">
        <v>0.08</v>
      </c>
      <c r="J172">
        <v>0.18</v>
      </c>
      <c r="K172">
        <v>60.000999999999998</v>
      </c>
      <c r="L172" s="5" t="s">
        <v>19</v>
      </c>
    </row>
    <row r="173" spans="1:12" x14ac:dyDescent="0.3">
      <c r="A173" s="5" t="s">
        <v>25</v>
      </c>
      <c r="B173" s="6">
        <v>0.79748420138888887</v>
      </c>
      <c r="C173">
        <v>3.82</v>
      </c>
      <c r="D173">
        <v>0.01</v>
      </c>
      <c r="E173">
        <v>6.1</v>
      </c>
      <c r="F173">
        <v>0</v>
      </c>
      <c r="G173">
        <v>0.03</v>
      </c>
      <c r="H173">
        <v>0.14000000000000001</v>
      </c>
      <c r="I173">
        <v>0.08</v>
      </c>
      <c r="J173">
        <v>0.18</v>
      </c>
      <c r="K173">
        <v>60.003</v>
      </c>
      <c r="L173" s="5" t="s">
        <v>19</v>
      </c>
    </row>
    <row r="174" spans="1:12" x14ac:dyDescent="0.3">
      <c r="A174" s="5" t="s">
        <v>25</v>
      </c>
      <c r="B174" s="6">
        <v>0.79749577546296291</v>
      </c>
      <c r="C174">
        <v>4.13</v>
      </c>
      <c r="D174">
        <v>0.01</v>
      </c>
      <c r="E174">
        <v>6.6</v>
      </c>
      <c r="F174">
        <v>0</v>
      </c>
      <c r="G174">
        <v>0.03</v>
      </c>
      <c r="H174">
        <v>0.14000000000000001</v>
      </c>
      <c r="I174">
        <v>0.08</v>
      </c>
      <c r="J174">
        <v>0.18</v>
      </c>
      <c r="K174">
        <v>60.002000000000002</v>
      </c>
      <c r="L174" s="5" t="s">
        <v>19</v>
      </c>
    </row>
    <row r="175" spans="1:12" x14ac:dyDescent="0.3">
      <c r="A175" s="5" t="s">
        <v>25</v>
      </c>
      <c r="B175" s="6">
        <v>0.79750734953703706</v>
      </c>
      <c r="C175">
        <v>4.0599999999999996</v>
      </c>
      <c r="D175">
        <v>0.01</v>
      </c>
      <c r="E175">
        <v>6.5</v>
      </c>
      <c r="F175">
        <v>0</v>
      </c>
      <c r="G175">
        <v>0.03</v>
      </c>
      <c r="H175">
        <v>0.14000000000000001</v>
      </c>
      <c r="I175">
        <v>0.08</v>
      </c>
      <c r="J175">
        <v>0.18</v>
      </c>
      <c r="K175">
        <v>60.003999999999998</v>
      </c>
      <c r="L175" s="5" t="s">
        <v>19</v>
      </c>
    </row>
    <row r="176" spans="1:12" x14ac:dyDescent="0.3">
      <c r="A176" s="5" t="s">
        <v>25</v>
      </c>
      <c r="B176" s="6">
        <v>0.7975189236111111</v>
      </c>
      <c r="C176">
        <v>3.86</v>
      </c>
      <c r="D176">
        <v>0.01</v>
      </c>
      <c r="E176">
        <v>6.3</v>
      </c>
      <c r="F176">
        <v>0</v>
      </c>
      <c r="G176">
        <v>0.03</v>
      </c>
      <c r="H176">
        <v>0.14000000000000001</v>
      </c>
      <c r="I176">
        <v>0.08</v>
      </c>
      <c r="J176">
        <v>0.18</v>
      </c>
      <c r="K176">
        <v>60.003999999999998</v>
      </c>
      <c r="L176" s="5" t="s">
        <v>19</v>
      </c>
    </row>
    <row r="177" spans="1:12" x14ac:dyDescent="0.3">
      <c r="A177" s="5" t="s">
        <v>25</v>
      </c>
      <c r="B177" s="6">
        <v>0.79753049768518514</v>
      </c>
      <c r="C177">
        <v>4.51</v>
      </c>
      <c r="D177">
        <v>0.01</v>
      </c>
      <c r="E177">
        <v>7.2</v>
      </c>
      <c r="F177">
        <v>0</v>
      </c>
      <c r="G177">
        <v>0.03</v>
      </c>
      <c r="H177">
        <v>0.14000000000000001</v>
      </c>
      <c r="I177">
        <v>0.08</v>
      </c>
      <c r="J177">
        <v>0.18</v>
      </c>
      <c r="K177">
        <v>60.003999999999998</v>
      </c>
      <c r="L177" s="5" t="s">
        <v>19</v>
      </c>
    </row>
    <row r="178" spans="1:12" x14ac:dyDescent="0.3">
      <c r="A178" s="5" t="s">
        <v>25</v>
      </c>
      <c r="B178" s="6">
        <v>0.79754207175925929</v>
      </c>
      <c r="C178">
        <v>3.82</v>
      </c>
      <c r="D178">
        <v>0.01</v>
      </c>
      <c r="E178">
        <v>6.2</v>
      </c>
      <c r="F178">
        <v>0</v>
      </c>
      <c r="G178">
        <v>0.03</v>
      </c>
      <c r="H178">
        <v>0.14000000000000001</v>
      </c>
      <c r="I178">
        <v>0.08</v>
      </c>
      <c r="J178">
        <v>0.18</v>
      </c>
      <c r="K178">
        <v>60.005000000000003</v>
      </c>
      <c r="L178" s="5" t="s">
        <v>19</v>
      </c>
    </row>
    <row r="179" spans="1:12" x14ac:dyDescent="0.3">
      <c r="A179" s="5" t="s">
        <v>25</v>
      </c>
      <c r="B179" s="6">
        <v>0.79755364583333332</v>
      </c>
      <c r="C179">
        <v>4.2</v>
      </c>
      <c r="D179">
        <v>0.01</v>
      </c>
      <c r="E179">
        <v>6.7</v>
      </c>
      <c r="F179">
        <v>0</v>
      </c>
      <c r="G179">
        <v>0.03</v>
      </c>
      <c r="H179">
        <v>0.14000000000000001</v>
      </c>
      <c r="I179">
        <v>0.08</v>
      </c>
      <c r="J179">
        <v>0.18</v>
      </c>
      <c r="K179">
        <v>60.005000000000003</v>
      </c>
      <c r="L179" s="5" t="s">
        <v>19</v>
      </c>
    </row>
    <row r="180" spans="1:12" x14ac:dyDescent="0.3">
      <c r="A180" s="5" t="s">
        <v>25</v>
      </c>
      <c r="B180" s="6">
        <v>0.79756521990740736</v>
      </c>
      <c r="C180">
        <v>4.22</v>
      </c>
      <c r="D180">
        <v>0.01</v>
      </c>
      <c r="E180">
        <v>6.7</v>
      </c>
      <c r="F180">
        <v>0</v>
      </c>
      <c r="G180">
        <v>0.03</v>
      </c>
      <c r="H180">
        <v>0.14000000000000001</v>
      </c>
      <c r="I180">
        <v>0.08</v>
      </c>
      <c r="J180">
        <v>0.18</v>
      </c>
      <c r="K180">
        <v>60.006</v>
      </c>
      <c r="L180" s="5" t="s">
        <v>19</v>
      </c>
    </row>
    <row r="181" spans="1:12" x14ac:dyDescent="0.3">
      <c r="A181" s="5" t="s">
        <v>25</v>
      </c>
      <c r="B181" s="6">
        <v>0.79757679398148151</v>
      </c>
      <c r="C181">
        <v>3.84</v>
      </c>
      <c r="D181">
        <v>0.01</v>
      </c>
      <c r="E181">
        <v>6.2</v>
      </c>
      <c r="F181">
        <v>0</v>
      </c>
      <c r="G181">
        <v>0.03</v>
      </c>
      <c r="H181">
        <v>0.14000000000000001</v>
      </c>
      <c r="I181">
        <v>0.08</v>
      </c>
      <c r="J181">
        <v>0.18</v>
      </c>
      <c r="K181">
        <v>60.006</v>
      </c>
      <c r="L181" s="5" t="s">
        <v>19</v>
      </c>
    </row>
    <row r="182" spans="1:12" x14ac:dyDescent="0.3">
      <c r="A182" s="5" t="s">
        <v>25</v>
      </c>
      <c r="B182" s="6">
        <v>0.79758836805555555</v>
      </c>
      <c r="C182">
        <v>4.4000000000000004</v>
      </c>
      <c r="D182">
        <v>0.01</v>
      </c>
      <c r="E182">
        <v>7.1</v>
      </c>
      <c r="F182">
        <v>0</v>
      </c>
      <c r="G182">
        <v>0.03</v>
      </c>
      <c r="H182">
        <v>0.14000000000000001</v>
      </c>
      <c r="I182">
        <v>0.08</v>
      </c>
      <c r="J182">
        <v>0.18</v>
      </c>
      <c r="K182">
        <v>60.006999999999998</v>
      </c>
      <c r="L182" s="5" t="s">
        <v>19</v>
      </c>
    </row>
    <row r="183" spans="1:12" x14ac:dyDescent="0.3">
      <c r="A183" s="5" t="s">
        <v>25</v>
      </c>
      <c r="B183" s="6">
        <v>0.79759994212962959</v>
      </c>
      <c r="C183">
        <v>3.76</v>
      </c>
      <c r="D183">
        <v>0.01</v>
      </c>
      <c r="E183">
        <v>6.1</v>
      </c>
      <c r="F183">
        <v>0</v>
      </c>
      <c r="G183">
        <v>0.03</v>
      </c>
      <c r="H183">
        <v>0.14000000000000001</v>
      </c>
      <c r="I183">
        <v>0.08</v>
      </c>
      <c r="J183">
        <v>0.18</v>
      </c>
      <c r="K183">
        <v>60.006999999999998</v>
      </c>
      <c r="L183" s="5" t="s">
        <v>19</v>
      </c>
    </row>
    <row r="184" spans="1:12" x14ac:dyDescent="0.3">
      <c r="A184" s="5" t="s">
        <v>25</v>
      </c>
      <c r="B184" s="6">
        <v>0.79761151620370374</v>
      </c>
      <c r="C184">
        <v>4.42</v>
      </c>
      <c r="D184">
        <v>0.01</v>
      </c>
      <c r="E184">
        <v>7</v>
      </c>
      <c r="F184">
        <v>0</v>
      </c>
      <c r="G184">
        <v>0.03</v>
      </c>
      <c r="H184">
        <v>0.14000000000000001</v>
      </c>
      <c r="I184">
        <v>0.08</v>
      </c>
      <c r="J184">
        <v>0.18</v>
      </c>
      <c r="K184">
        <v>60.006999999999998</v>
      </c>
      <c r="L184" s="5" t="s">
        <v>19</v>
      </c>
    </row>
    <row r="185" spans="1:12" x14ac:dyDescent="0.3">
      <c r="A185" s="5" t="s">
        <v>25</v>
      </c>
      <c r="B185" s="6">
        <v>0.79762309027777778</v>
      </c>
      <c r="C185">
        <v>3.81</v>
      </c>
      <c r="D185">
        <v>0.01</v>
      </c>
      <c r="E185">
        <v>6.1</v>
      </c>
      <c r="F185">
        <v>0</v>
      </c>
      <c r="G185">
        <v>0.03</v>
      </c>
      <c r="H185">
        <v>0.14000000000000001</v>
      </c>
      <c r="I185">
        <v>0.08</v>
      </c>
      <c r="J185">
        <v>0.18</v>
      </c>
      <c r="K185">
        <v>60.008000000000003</v>
      </c>
      <c r="L185" s="5" t="s">
        <v>19</v>
      </c>
    </row>
    <row r="186" spans="1:12" x14ac:dyDescent="0.3">
      <c r="A186" s="5" t="s">
        <v>25</v>
      </c>
      <c r="B186" s="6">
        <v>0.79763466435185182</v>
      </c>
      <c r="C186">
        <v>4.13</v>
      </c>
      <c r="D186">
        <v>0.01</v>
      </c>
      <c r="E186">
        <v>6.6</v>
      </c>
      <c r="F186">
        <v>0</v>
      </c>
      <c r="G186">
        <v>0.03</v>
      </c>
      <c r="H186">
        <v>0.14000000000000001</v>
      </c>
      <c r="I186">
        <v>0.08</v>
      </c>
      <c r="J186">
        <v>0.18</v>
      </c>
      <c r="K186">
        <v>60.008000000000003</v>
      </c>
      <c r="L186" s="5" t="s">
        <v>19</v>
      </c>
    </row>
    <row r="187" spans="1:12" x14ac:dyDescent="0.3">
      <c r="A187" s="5" t="s">
        <v>25</v>
      </c>
      <c r="B187" s="6">
        <v>0.79764623842592597</v>
      </c>
      <c r="C187">
        <v>4.0199999999999996</v>
      </c>
      <c r="D187">
        <v>0.01</v>
      </c>
      <c r="E187">
        <v>6.4</v>
      </c>
      <c r="F187">
        <v>0</v>
      </c>
      <c r="G187">
        <v>0.03</v>
      </c>
      <c r="H187">
        <v>0.14000000000000001</v>
      </c>
      <c r="I187">
        <v>0.08</v>
      </c>
      <c r="J187">
        <v>0.18</v>
      </c>
      <c r="K187">
        <v>60.009</v>
      </c>
      <c r="L187" s="5" t="s">
        <v>19</v>
      </c>
    </row>
    <row r="188" spans="1:12" x14ac:dyDescent="0.3">
      <c r="A188" s="5" t="s">
        <v>25</v>
      </c>
      <c r="B188" s="6">
        <v>0.79765781250000001</v>
      </c>
      <c r="C188">
        <v>4.04</v>
      </c>
      <c r="D188">
        <v>0.01</v>
      </c>
      <c r="E188">
        <v>6.5</v>
      </c>
      <c r="F188">
        <v>0</v>
      </c>
      <c r="G188">
        <v>0.03</v>
      </c>
      <c r="H188">
        <v>0.14000000000000001</v>
      </c>
      <c r="I188">
        <v>0.08</v>
      </c>
      <c r="J188">
        <v>0.18</v>
      </c>
      <c r="K188">
        <v>60.008000000000003</v>
      </c>
      <c r="L188" s="5" t="s">
        <v>19</v>
      </c>
    </row>
    <row r="189" spans="1:12" x14ac:dyDescent="0.3">
      <c r="A189" s="5" t="s">
        <v>25</v>
      </c>
      <c r="B189" s="6">
        <v>0.79766938657407405</v>
      </c>
      <c r="C189">
        <v>4.29</v>
      </c>
      <c r="D189">
        <v>0.01</v>
      </c>
      <c r="E189">
        <v>6.9</v>
      </c>
      <c r="F189">
        <v>0</v>
      </c>
      <c r="G189">
        <v>0.03</v>
      </c>
      <c r="H189">
        <v>0.14000000000000001</v>
      </c>
      <c r="I189">
        <v>0.08</v>
      </c>
      <c r="J189">
        <v>0.18</v>
      </c>
      <c r="K189">
        <v>60.008000000000003</v>
      </c>
      <c r="L189" s="5" t="s">
        <v>19</v>
      </c>
    </row>
    <row r="190" spans="1:12" x14ac:dyDescent="0.3">
      <c r="A190" s="5" t="s">
        <v>25</v>
      </c>
      <c r="B190" s="6">
        <v>0.7976809606481482</v>
      </c>
      <c r="C190">
        <v>4.3499999999999996</v>
      </c>
      <c r="D190">
        <v>0.01</v>
      </c>
      <c r="E190">
        <v>6.9</v>
      </c>
      <c r="F190">
        <v>0</v>
      </c>
      <c r="G190">
        <v>0.03</v>
      </c>
      <c r="H190">
        <v>0.14000000000000001</v>
      </c>
      <c r="I190">
        <v>0.08</v>
      </c>
      <c r="J190">
        <v>0.18</v>
      </c>
      <c r="K190">
        <v>60.008000000000003</v>
      </c>
      <c r="L190" s="5" t="s">
        <v>19</v>
      </c>
    </row>
    <row r="191" spans="1:12" x14ac:dyDescent="0.3">
      <c r="A191" s="5" t="s">
        <v>25</v>
      </c>
      <c r="B191" s="6">
        <v>0.79769253472222224</v>
      </c>
      <c r="C191">
        <v>4.51</v>
      </c>
      <c r="D191">
        <v>0.01</v>
      </c>
      <c r="E191">
        <v>7.2</v>
      </c>
      <c r="F191">
        <v>0</v>
      </c>
      <c r="G191">
        <v>0.03</v>
      </c>
      <c r="H191">
        <v>0.14000000000000001</v>
      </c>
      <c r="I191">
        <v>0.08</v>
      </c>
      <c r="J191">
        <v>0.18</v>
      </c>
      <c r="K191">
        <v>60.006999999999998</v>
      </c>
      <c r="L191" s="5" t="s">
        <v>19</v>
      </c>
    </row>
    <row r="192" spans="1:12" x14ac:dyDescent="0.3">
      <c r="A192" s="5" t="s">
        <v>25</v>
      </c>
      <c r="B192" s="6">
        <v>0.79770410879629627</v>
      </c>
      <c r="C192">
        <v>4.58</v>
      </c>
      <c r="D192">
        <v>0.01</v>
      </c>
      <c r="E192">
        <v>6.9</v>
      </c>
      <c r="F192">
        <v>0</v>
      </c>
      <c r="G192">
        <v>0.03</v>
      </c>
      <c r="H192">
        <v>0.14000000000000001</v>
      </c>
      <c r="I192">
        <v>0.08</v>
      </c>
      <c r="J192">
        <v>0.18</v>
      </c>
      <c r="K192">
        <v>60.006</v>
      </c>
      <c r="L192" s="5" t="s">
        <v>19</v>
      </c>
    </row>
    <row r="193" spans="1:12" x14ac:dyDescent="0.3">
      <c r="A193" s="5" t="s">
        <v>25</v>
      </c>
      <c r="B193" s="6">
        <v>0.79771568287037042</v>
      </c>
      <c r="C193">
        <v>4.6900000000000004</v>
      </c>
      <c r="D193">
        <v>0.01</v>
      </c>
      <c r="E193">
        <v>6.7</v>
      </c>
      <c r="F193">
        <v>0</v>
      </c>
      <c r="G193">
        <v>0.03</v>
      </c>
      <c r="H193">
        <v>0.14000000000000001</v>
      </c>
      <c r="I193">
        <v>0.08</v>
      </c>
      <c r="J193">
        <v>0.18</v>
      </c>
      <c r="K193">
        <v>60.006</v>
      </c>
      <c r="L193" s="5" t="s">
        <v>19</v>
      </c>
    </row>
    <row r="194" spans="1:12" x14ac:dyDescent="0.3">
      <c r="A194" s="5" t="s">
        <v>25</v>
      </c>
      <c r="B194" s="6">
        <v>0.79772725694444446</v>
      </c>
      <c r="C194">
        <v>4.67</v>
      </c>
      <c r="D194">
        <v>0.01</v>
      </c>
      <c r="E194">
        <v>6.7</v>
      </c>
      <c r="F194">
        <v>0</v>
      </c>
      <c r="G194">
        <v>0.03</v>
      </c>
      <c r="H194">
        <v>0.14000000000000001</v>
      </c>
      <c r="I194">
        <v>0.08</v>
      </c>
      <c r="J194">
        <v>0.18</v>
      </c>
      <c r="K194">
        <v>60.006</v>
      </c>
      <c r="L194" s="5" t="s">
        <v>19</v>
      </c>
    </row>
    <row r="195" spans="1:12" x14ac:dyDescent="0.3">
      <c r="A195" s="5" t="s">
        <v>25</v>
      </c>
      <c r="B195" s="6">
        <v>0.7977388310185185</v>
      </c>
      <c r="C195">
        <v>4.62</v>
      </c>
      <c r="D195">
        <v>0.01</v>
      </c>
      <c r="E195">
        <v>6.6</v>
      </c>
      <c r="F195">
        <v>0</v>
      </c>
      <c r="G195">
        <v>0.03</v>
      </c>
      <c r="H195">
        <v>0.14000000000000001</v>
      </c>
      <c r="I195">
        <v>0.08</v>
      </c>
      <c r="J195">
        <v>0.18</v>
      </c>
      <c r="K195">
        <v>60.005000000000003</v>
      </c>
      <c r="L195" s="5" t="s">
        <v>19</v>
      </c>
    </row>
    <row r="196" spans="1:12" x14ac:dyDescent="0.3">
      <c r="A196" s="5" t="s">
        <v>25</v>
      </c>
      <c r="B196" s="6">
        <v>0.79775040509259254</v>
      </c>
      <c r="C196">
        <v>4.5999999999999996</v>
      </c>
      <c r="D196">
        <v>0.01</v>
      </c>
      <c r="E196">
        <v>6.6</v>
      </c>
      <c r="F196">
        <v>0</v>
      </c>
      <c r="G196">
        <v>0.03</v>
      </c>
      <c r="H196">
        <v>0.14000000000000001</v>
      </c>
      <c r="I196">
        <v>0.08</v>
      </c>
      <c r="J196">
        <v>0.18</v>
      </c>
      <c r="K196">
        <v>60.005000000000003</v>
      </c>
      <c r="L196" s="5" t="s">
        <v>19</v>
      </c>
    </row>
    <row r="197" spans="1:12" x14ac:dyDescent="0.3">
      <c r="A197" s="5" t="s">
        <v>25</v>
      </c>
      <c r="B197" s="6">
        <v>0.79776197916666669</v>
      </c>
      <c r="C197">
        <v>4.6100000000000003</v>
      </c>
      <c r="D197">
        <v>0.01</v>
      </c>
      <c r="E197">
        <v>6.6</v>
      </c>
      <c r="F197">
        <v>0</v>
      </c>
      <c r="G197">
        <v>0.03</v>
      </c>
      <c r="H197">
        <v>0.14000000000000001</v>
      </c>
      <c r="I197">
        <v>0.08</v>
      </c>
      <c r="J197">
        <v>0.18</v>
      </c>
      <c r="K197">
        <v>60.005000000000003</v>
      </c>
      <c r="L197" s="5" t="s">
        <v>19</v>
      </c>
    </row>
    <row r="198" spans="1:12" x14ac:dyDescent="0.3">
      <c r="A198" s="5" t="s">
        <v>25</v>
      </c>
      <c r="B198" s="6">
        <v>0.79777355324074073</v>
      </c>
      <c r="C198">
        <v>4.5999999999999996</v>
      </c>
      <c r="D198">
        <v>0.01</v>
      </c>
      <c r="E198">
        <v>6.6</v>
      </c>
      <c r="F198">
        <v>0</v>
      </c>
      <c r="G198">
        <v>0.03</v>
      </c>
      <c r="H198">
        <v>0.14000000000000001</v>
      </c>
      <c r="I198">
        <v>0.08</v>
      </c>
      <c r="J198">
        <v>0.18</v>
      </c>
      <c r="K198">
        <v>60.005000000000003</v>
      </c>
      <c r="L198" s="5" t="s">
        <v>19</v>
      </c>
    </row>
    <row r="199" spans="1:12" x14ac:dyDescent="0.3">
      <c r="A199" s="5" t="s">
        <v>25</v>
      </c>
      <c r="B199" s="6">
        <v>0.79778512731481477</v>
      </c>
      <c r="C199">
        <v>4.5999999999999996</v>
      </c>
      <c r="D199">
        <v>0.01</v>
      </c>
      <c r="E199">
        <v>6.6</v>
      </c>
      <c r="F199">
        <v>0</v>
      </c>
      <c r="G199">
        <v>0.03</v>
      </c>
      <c r="H199">
        <v>0.14000000000000001</v>
      </c>
      <c r="I199">
        <v>0.08</v>
      </c>
      <c r="J199">
        <v>0.18</v>
      </c>
      <c r="K199">
        <v>60.005000000000003</v>
      </c>
      <c r="L199" s="5" t="s">
        <v>19</v>
      </c>
    </row>
    <row r="200" spans="1:12" x14ac:dyDescent="0.3">
      <c r="A200" s="5" t="s">
        <v>25</v>
      </c>
      <c r="B200" s="6">
        <v>0.79779670138888892</v>
      </c>
      <c r="C200">
        <v>4.5999999999999996</v>
      </c>
      <c r="D200">
        <v>0.01</v>
      </c>
      <c r="E200">
        <v>6.6</v>
      </c>
      <c r="F200">
        <v>0</v>
      </c>
      <c r="G200">
        <v>0.03</v>
      </c>
      <c r="H200">
        <v>0.14000000000000001</v>
      </c>
      <c r="I200">
        <v>0.08</v>
      </c>
      <c r="J200">
        <v>0.18</v>
      </c>
      <c r="K200">
        <v>60.006</v>
      </c>
      <c r="L200" s="5" t="s">
        <v>19</v>
      </c>
    </row>
    <row r="201" spans="1:12" x14ac:dyDescent="0.3">
      <c r="A201" s="5" t="s">
        <v>25</v>
      </c>
      <c r="B201" s="6">
        <v>0.79780827546296296</v>
      </c>
      <c r="C201">
        <v>4.5999999999999996</v>
      </c>
      <c r="D201">
        <v>0.01</v>
      </c>
      <c r="E201">
        <v>6.6</v>
      </c>
      <c r="F201">
        <v>0</v>
      </c>
      <c r="G201">
        <v>0.03</v>
      </c>
      <c r="H201">
        <v>0.14000000000000001</v>
      </c>
      <c r="I201">
        <v>0.08</v>
      </c>
      <c r="J201">
        <v>0.18</v>
      </c>
      <c r="K201">
        <v>60.006</v>
      </c>
      <c r="L201" s="5" t="s">
        <v>19</v>
      </c>
    </row>
    <row r="202" spans="1:12" x14ac:dyDescent="0.3">
      <c r="A202" s="5" t="s">
        <v>25</v>
      </c>
      <c r="B202" s="6">
        <v>0.797819849537037</v>
      </c>
      <c r="C202">
        <v>4.5999999999999996</v>
      </c>
      <c r="D202">
        <v>0.01</v>
      </c>
      <c r="E202">
        <v>6.6</v>
      </c>
      <c r="F202">
        <v>0</v>
      </c>
      <c r="G202">
        <v>0.03</v>
      </c>
      <c r="H202">
        <v>0.14000000000000001</v>
      </c>
      <c r="I202">
        <v>0.08</v>
      </c>
      <c r="J202">
        <v>0.18</v>
      </c>
      <c r="K202">
        <v>60.008000000000003</v>
      </c>
      <c r="L202" s="5" t="s">
        <v>19</v>
      </c>
    </row>
    <row r="203" spans="1:12" x14ac:dyDescent="0.3">
      <c r="A203" s="5" t="s">
        <v>25</v>
      </c>
      <c r="B203" s="6">
        <v>0.79783142361111115</v>
      </c>
      <c r="C203">
        <v>4.59</v>
      </c>
      <c r="D203">
        <v>0.01</v>
      </c>
      <c r="E203">
        <v>6.6</v>
      </c>
      <c r="F203">
        <v>0</v>
      </c>
      <c r="G203">
        <v>0.03</v>
      </c>
      <c r="H203">
        <v>0.14000000000000001</v>
      </c>
      <c r="I203">
        <v>0.08</v>
      </c>
      <c r="J203">
        <v>0.18</v>
      </c>
      <c r="K203">
        <v>60.008000000000003</v>
      </c>
      <c r="L203" s="5" t="s">
        <v>19</v>
      </c>
    </row>
    <row r="204" spans="1:12" x14ac:dyDescent="0.3">
      <c r="A204" s="5" t="s">
        <v>25</v>
      </c>
      <c r="B204" s="6">
        <v>0.79784299768518518</v>
      </c>
      <c r="C204">
        <v>4.5999999999999996</v>
      </c>
      <c r="D204">
        <v>0.01</v>
      </c>
      <c r="E204">
        <v>6.6</v>
      </c>
      <c r="F204">
        <v>0</v>
      </c>
      <c r="G204">
        <v>0.03</v>
      </c>
      <c r="H204">
        <v>0.14000000000000001</v>
      </c>
      <c r="I204">
        <v>0.08</v>
      </c>
      <c r="J204">
        <v>0.18</v>
      </c>
      <c r="K204">
        <v>60.009</v>
      </c>
      <c r="L204" s="5" t="s">
        <v>19</v>
      </c>
    </row>
    <row r="205" spans="1:12" x14ac:dyDescent="0.3">
      <c r="A205" s="5" t="s">
        <v>25</v>
      </c>
      <c r="B205" s="6">
        <v>0.79785457175925922</v>
      </c>
      <c r="C205">
        <v>4.59</v>
      </c>
      <c r="D205">
        <v>0.01</v>
      </c>
      <c r="E205">
        <v>6.6</v>
      </c>
      <c r="F205">
        <v>0</v>
      </c>
      <c r="G205">
        <v>0.03</v>
      </c>
      <c r="H205">
        <v>0.14000000000000001</v>
      </c>
      <c r="I205">
        <v>0.08</v>
      </c>
      <c r="J205">
        <v>0.18</v>
      </c>
      <c r="K205">
        <v>60.009</v>
      </c>
      <c r="L205" s="5" t="s">
        <v>19</v>
      </c>
    </row>
    <row r="206" spans="1:12" x14ac:dyDescent="0.3">
      <c r="A206" s="5" t="s">
        <v>25</v>
      </c>
      <c r="B206" s="6">
        <v>0.79786614583333337</v>
      </c>
      <c r="C206">
        <v>4.59</v>
      </c>
      <c r="D206">
        <v>0.01</v>
      </c>
      <c r="E206">
        <v>6.6</v>
      </c>
      <c r="F206">
        <v>0</v>
      </c>
      <c r="G206">
        <v>0.03</v>
      </c>
      <c r="H206">
        <v>0.14000000000000001</v>
      </c>
      <c r="I206">
        <v>0.08</v>
      </c>
      <c r="J206">
        <v>0.18</v>
      </c>
      <c r="K206">
        <v>60.009</v>
      </c>
      <c r="L206" s="5" t="s">
        <v>19</v>
      </c>
    </row>
    <row r="207" spans="1:12" x14ac:dyDescent="0.3">
      <c r="A207" s="5" t="s">
        <v>25</v>
      </c>
      <c r="B207" s="6">
        <v>0.79787771990740741</v>
      </c>
      <c r="C207">
        <v>4.59</v>
      </c>
      <c r="D207">
        <v>0.01</v>
      </c>
      <c r="E207">
        <v>6.6</v>
      </c>
      <c r="F207">
        <v>0</v>
      </c>
      <c r="G207">
        <v>0.03</v>
      </c>
      <c r="H207">
        <v>0.14000000000000001</v>
      </c>
      <c r="I207">
        <v>0.08</v>
      </c>
      <c r="J207">
        <v>0.18</v>
      </c>
      <c r="K207">
        <v>60.009</v>
      </c>
      <c r="L207" s="5" t="s">
        <v>19</v>
      </c>
    </row>
    <row r="208" spans="1:12" x14ac:dyDescent="0.3">
      <c r="A208" s="5" t="s">
        <v>25</v>
      </c>
      <c r="B208" s="6">
        <v>0.79788929398148145</v>
      </c>
      <c r="C208">
        <v>4.63</v>
      </c>
      <c r="D208">
        <v>0.01</v>
      </c>
      <c r="E208">
        <v>6.7</v>
      </c>
      <c r="F208">
        <v>0</v>
      </c>
      <c r="G208">
        <v>0.03</v>
      </c>
      <c r="H208">
        <v>0.14000000000000001</v>
      </c>
      <c r="I208">
        <v>0.08</v>
      </c>
      <c r="J208">
        <v>0.18</v>
      </c>
      <c r="K208">
        <v>60.009</v>
      </c>
      <c r="L208" s="5" t="s">
        <v>19</v>
      </c>
    </row>
    <row r="209" spans="1:12" x14ac:dyDescent="0.3">
      <c r="A209" s="5" t="s">
        <v>25</v>
      </c>
      <c r="B209" s="6">
        <v>0.7979008680555556</v>
      </c>
      <c r="C209">
        <v>4.6100000000000003</v>
      </c>
      <c r="D209">
        <v>0.01</v>
      </c>
      <c r="E209">
        <v>6.6</v>
      </c>
      <c r="F209">
        <v>0</v>
      </c>
      <c r="G209">
        <v>0.03</v>
      </c>
      <c r="H209">
        <v>0.14000000000000001</v>
      </c>
      <c r="I209">
        <v>0.08</v>
      </c>
      <c r="J209">
        <v>0.18</v>
      </c>
      <c r="K209">
        <v>60.009</v>
      </c>
      <c r="L209" s="5" t="s">
        <v>19</v>
      </c>
    </row>
    <row r="210" spans="1:12" x14ac:dyDescent="0.3">
      <c r="A210" s="5" t="s">
        <v>25</v>
      </c>
      <c r="B210" s="6">
        <v>0.79791244212962964</v>
      </c>
      <c r="C210">
        <v>4.6100000000000003</v>
      </c>
      <c r="D210">
        <v>0.01</v>
      </c>
      <c r="E210">
        <v>6.6</v>
      </c>
      <c r="F210">
        <v>0</v>
      </c>
      <c r="G210">
        <v>0.03</v>
      </c>
      <c r="H210">
        <v>0.14000000000000001</v>
      </c>
      <c r="I210">
        <v>0.08</v>
      </c>
      <c r="J210">
        <v>0.18</v>
      </c>
      <c r="K210">
        <v>60.009</v>
      </c>
      <c r="L210" s="5" t="s">
        <v>19</v>
      </c>
    </row>
    <row r="211" spans="1:12" x14ac:dyDescent="0.3">
      <c r="A211" s="5" t="s">
        <v>25</v>
      </c>
      <c r="B211" s="6">
        <v>0.79792401620370368</v>
      </c>
      <c r="C211">
        <v>4.6100000000000003</v>
      </c>
      <c r="D211">
        <v>0.01</v>
      </c>
      <c r="E211">
        <v>6.6</v>
      </c>
      <c r="F211">
        <v>0</v>
      </c>
      <c r="G211">
        <v>0.03</v>
      </c>
      <c r="H211">
        <v>0.14000000000000001</v>
      </c>
      <c r="I211">
        <v>0.08</v>
      </c>
      <c r="J211">
        <v>0.18</v>
      </c>
      <c r="K211">
        <v>60.009</v>
      </c>
      <c r="L211" s="5" t="s">
        <v>19</v>
      </c>
    </row>
    <row r="212" spans="1:12" x14ac:dyDescent="0.3">
      <c r="A212" s="5" t="s">
        <v>25</v>
      </c>
      <c r="B212" s="6">
        <v>0.79793559027777783</v>
      </c>
      <c r="C212">
        <v>4.5599999999999996</v>
      </c>
      <c r="D212">
        <v>0.01</v>
      </c>
      <c r="E212">
        <v>6.5</v>
      </c>
      <c r="F212">
        <v>0</v>
      </c>
      <c r="G212">
        <v>0.03</v>
      </c>
      <c r="H212">
        <v>0.14000000000000001</v>
      </c>
      <c r="I212">
        <v>0.08</v>
      </c>
      <c r="J212">
        <v>0.18</v>
      </c>
      <c r="K212">
        <v>60.009</v>
      </c>
      <c r="L212" s="5" t="s">
        <v>19</v>
      </c>
    </row>
    <row r="213" spans="1:12" x14ac:dyDescent="0.3">
      <c r="A213" s="5" t="s">
        <v>25</v>
      </c>
      <c r="B213" s="6">
        <v>0.79794716435185187</v>
      </c>
      <c r="C213">
        <v>4.54</v>
      </c>
      <c r="D213">
        <v>0.01</v>
      </c>
      <c r="E213">
        <v>6.5</v>
      </c>
      <c r="F213">
        <v>0</v>
      </c>
      <c r="G213">
        <v>0.03</v>
      </c>
      <c r="H213">
        <v>0.14000000000000001</v>
      </c>
      <c r="I213">
        <v>0.08</v>
      </c>
      <c r="J213">
        <v>0.18</v>
      </c>
      <c r="K213">
        <v>60.008000000000003</v>
      </c>
      <c r="L213" s="5" t="s">
        <v>19</v>
      </c>
    </row>
    <row r="214" spans="1:12" x14ac:dyDescent="0.3">
      <c r="A214" s="5" t="s">
        <v>25</v>
      </c>
      <c r="B214" s="6">
        <v>0.79795873842592591</v>
      </c>
      <c r="C214">
        <v>4.53</v>
      </c>
      <c r="D214">
        <v>0.01</v>
      </c>
      <c r="E214">
        <v>6.5</v>
      </c>
      <c r="F214">
        <v>0</v>
      </c>
      <c r="G214">
        <v>0.03</v>
      </c>
      <c r="H214">
        <v>0.14000000000000001</v>
      </c>
      <c r="I214">
        <v>0.08</v>
      </c>
      <c r="J214">
        <v>0.18</v>
      </c>
      <c r="K214">
        <v>60.008000000000003</v>
      </c>
      <c r="L214" s="5" t="s">
        <v>19</v>
      </c>
    </row>
    <row r="215" spans="1:12" x14ac:dyDescent="0.3">
      <c r="A215" s="5" t="s">
        <v>25</v>
      </c>
      <c r="B215" s="6">
        <v>0.79797031249999995</v>
      </c>
      <c r="C215">
        <v>4.78</v>
      </c>
      <c r="D215">
        <v>0.01</v>
      </c>
      <c r="E215">
        <v>7</v>
      </c>
      <c r="F215">
        <v>0</v>
      </c>
      <c r="G215">
        <v>0.03</v>
      </c>
      <c r="H215">
        <v>0.14000000000000001</v>
      </c>
      <c r="I215">
        <v>0.08</v>
      </c>
      <c r="J215">
        <v>0.18</v>
      </c>
      <c r="K215">
        <v>60.006999999999998</v>
      </c>
      <c r="L215" s="5" t="s">
        <v>19</v>
      </c>
    </row>
    <row r="216" spans="1:12" x14ac:dyDescent="0.3">
      <c r="A216" s="5" t="s">
        <v>25</v>
      </c>
      <c r="B216" s="6">
        <v>0.7979818865740741</v>
      </c>
      <c r="C216">
        <v>4.72</v>
      </c>
      <c r="D216">
        <v>0.01</v>
      </c>
      <c r="E216">
        <v>7.6</v>
      </c>
      <c r="F216">
        <v>0</v>
      </c>
      <c r="G216">
        <v>0.03</v>
      </c>
      <c r="H216">
        <v>0.14000000000000001</v>
      </c>
      <c r="I216">
        <v>0.08</v>
      </c>
      <c r="J216">
        <v>0.18</v>
      </c>
      <c r="K216">
        <v>60.008000000000003</v>
      </c>
      <c r="L216" s="5" t="s">
        <v>19</v>
      </c>
    </row>
    <row r="217" spans="1:12" x14ac:dyDescent="0.3">
      <c r="A217" s="5" t="s">
        <v>25</v>
      </c>
      <c r="B217" s="6">
        <v>0.79799346064814813</v>
      </c>
      <c r="C217">
        <v>4.95</v>
      </c>
      <c r="D217">
        <v>0.01</v>
      </c>
      <c r="E217">
        <v>7.8</v>
      </c>
      <c r="F217">
        <v>0</v>
      </c>
      <c r="G217">
        <v>0.03</v>
      </c>
      <c r="H217">
        <v>0.14000000000000001</v>
      </c>
      <c r="I217">
        <v>0.08</v>
      </c>
      <c r="J217">
        <v>0.18</v>
      </c>
      <c r="K217">
        <v>60.006</v>
      </c>
      <c r="L217" s="5" t="s">
        <v>19</v>
      </c>
    </row>
    <row r="218" spans="1:12" x14ac:dyDescent="0.3">
      <c r="A218" s="5" t="s">
        <v>25</v>
      </c>
      <c r="B218" s="6">
        <v>0.79800503472222217</v>
      </c>
      <c r="C218">
        <v>4.7</v>
      </c>
      <c r="D218">
        <v>0.01</v>
      </c>
      <c r="E218">
        <v>7.3</v>
      </c>
      <c r="F218">
        <v>0</v>
      </c>
      <c r="G218">
        <v>0.03</v>
      </c>
      <c r="H218">
        <v>0.14000000000000001</v>
      </c>
      <c r="I218">
        <v>0.08</v>
      </c>
      <c r="J218">
        <v>0.18</v>
      </c>
      <c r="K218">
        <v>60.006999999999998</v>
      </c>
      <c r="L218" s="5" t="s">
        <v>19</v>
      </c>
    </row>
    <row r="219" spans="1:12" x14ac:dyDescent="0.3">
      <c r="A219" s="5" t="s">
        <v>25</v>
      </c>
      <c r="B219" s="6">
        <v>0.79801660879629632</v>
      </c>
      <c r="C219">
        <v>4.74</v>
      </c>
      <c r="D219">
        <v>0.01</v>
      </c>
      <c r="E219">
        <v>7.5</v>
      </c>
      <c r="F219">
        <v>0</v>
      </c>
      <c r="G219">
        <v>0.03</v>
      </c>
      <c r="H219">
        <v>0.14000000000000001</v>
      </c>
      <c r="I219">
        <v>0.08</v>
      </c>
      <c r="J219">
        <v>0.18</v>
      </c>
      <c r="K219">
        <v>60.006999999999998</v>
      </c>
      <c r="L219" s="5" t="s">
        <v>19</v>
      </c>
    </row>
    <row r="220" spans="1:12" x14ac:dyDescent="0.3">
      <c r="A220" s="5" t="s">
        <v>25</v>
      </c>
      <c r="B220" s="6">
        <v>0.79802818287037036</v>
      </c>
      <c r="C220">
        <v>4.88</v>
      </c>
      <c r="D220">
        <v>0.01</v>
      </c>
      <c r="E220">
        <v>7.6</v>
      </c>
      <c r="F220">
        <v>0</v>
      </c>
      <c r="G220">
        <v>0.03</v>
      </c>
      <c r="H220">
        <v>0.14000000000000001</v>
      </c>
      <c r="I220">
        <v>0.08</v>
      </c>
      <c r="J220">
        <v>0.18</v>
      </c>
      <c r="K220">
        <v>60.006</v>
      </c>
      <c r="L220" s="5" t="s">
        <v>19</v>
      </c>
    </row>
    <row r="221" spans="1:12" x14ac:dyDescent="0.3">
      <c r="A221" s="5" t="s">
        <v>25</v>
      </c>
      <c r="B221" s="6">
        <v>0.7980397569444444</v>
      </c>
      <c r="C221">
        <v>4.6500000000000004</v>
      </c>
      <c r="D221">
        <v>0.01</v>
      </c>
      <c r="E221">
        <v>7.4</v>
      </c>
      <c r="F221">
        <v>0</v>
      </c>
      <c r="G221">
        <v>0.03</v>
      </c>
      <c r="H221">
        <v>0.14000000000000001</v>
      </c>
      <c r="I221">
        <v>0.08</v>
      </c>
      <c r="J221">
        <v>0.18</v>
      </c>
      <c r="K221">
        <v>60.006</v>
      </c>
      <c r="L221" s="5" t="s">
        <v>19</v>
      </c>
    </row>
    <row r="222" spans="1:12" x14ac:dyDescent="0.3">
      <c r="A222" s="5" t="s">
        <v>25</v>
      </c>
      <c r="B222" s="6">
        <v>0.79805133101851855</v>
      </c>
      <c r="C222">
        <v>5</v>
      </c>
      <c r="D222">
        <v>0.01</v>
      </c>
      <c r="E222">
        <v>7.8</v>
      </c>
      <c r="F222">
        <v>0</v>
      </c>
      <c r="G222">
        <v>0.03</v>
      </c>
      <c r="H222">
        <v>0.14000000000000001</v>
      </c>
      <c r="I222">
        <v>0.08</v>
      </c>
      <c r="J222">
        <v>0.18</v>
      </c>
      <c r="K222">
        <v>60.005000000000003</v>
      </c>
      <c r="L222" s="5" t="s">
        <v>19</v>
      </c>
    </row>
    <row r="223" spans="1:12" x14ac:dyDescent="0.3">
      <c r="A223" s="5" t="s">
        <v>25</v>
      </c>
      <c r="B223" s="6">
        <v>0.79806290509259259</v>
      </c>
      <c r="C223">
        <v>4.6100000000000003</v>
      </c>
      <c r="D223">
        <v>0.01</v>
      </c>
      <c r="E223">
        <v>7.3</v>
      </c>
      <c r="F223">
        <v>0</v>
      </c>
      <c r="G223">
        <v>0.03</v>
      </c>
      <c r="H223">
        <v>0.14000000000000001</v>
      </c>
      <c r="I223">
        <v>0.08</v>
      </c>
      <c r="J223">
        <v>0.18</v>
      </c>
      <c r="K223">
        <v>60.006</v>
      </c>
      <c r="L223" s="5" t="s">
        <v>19</v>
      </c>
    </row>
    <row r="224" spans="1:12" x14ac:dyDescent="0.3">
      <c r="A224" s="5" t="s">
        <v>25</v>
      </c>
      <c r="B224" s="6">
        <v>0.79807447916666663</v>
      </c>
      <c r="C224">
        <v>4.8899999999999997</v>
      </c>
      <c r="D224">
        <v>0.01</v>
      </c>
      <c r="E224">
        <v>7.7</v>
      </c>
      <c r="F224">
        <v>0</v>
      </c>
      <c r="G224">
        <v>0.03</v>
      </c>
      <c r="H224">
        <v>0.14000000000000001</v>
      </c>
      <c r="I224">
        <v>0.08</v>
      </c>
      <c r="J224">
        <v>0.18</v>
      </c>
      <c r="K224">
        <v>60.003999999999998</v>
      </c>
      <c r="L224" s="5" t="s">
        <v>19</v>
      </c>
    </row>
    <row r="225" spans="1:12" x14ac:dyDescent="0.3">
      <c r="A225" s="5" t="s">
        <v>25</v>
      </c>
      <c r="B225" s="6">
        <v>0.79808605324074078</v>
      </c>
      <c r="C225">
        <v>4.75</v>
      </c>
      <c r="D225">
        <v>0.01</v>
      </c>
      <c r="E225">
        <v>7.4</v>
      </c>
      <c r="F225">
        <v>0</v>
      </c>
      <c r="G225">
        <v>0.03</v>
      </c>
      <c r="H225">
        <v>0.14000000000000001</v>
      </c>
      <c r="I225">
        <v>0.08</v>
      </c>
      <c r="J225">
        <v>0.18</v>
      </c>
      <c r="K225">
        <v>60.003999999999998</v>
      </c>
      <c r="L225" s="5" t="s">
        <v>19</v>
      </c>
    </row>
    <row r="226" spans="1:12" x14ac:dyDescent="0.3">
      <c r="A226" s="5" t="s">
        <v>25</v>
      </c>
      <c r="B226" s="6">
        <v>0.79809762731481482</v>
      </c>
      <c r="C226">
        <v>4.74</v>
      </c>
      <c r="D226">
        <v>0.01</v>
      </c>
      <c r="E226">
        <v>7.5</v>
      </c>
      <c r="F226">
        <v>0</v>
      </c>
      <c r="G226">
        <v>0.03</v>
      </c>
      <c r="H226">
        <v>0.14000000000000001</v>
      </c>
      <c r="I226">
        <v>0.08</v>
      </c>
      <c r="J226">
        <v>0.18</v>
      </c>
      <c r="K226">
        <v>60.002000000000002</v>
      </c>
      <c r="L226" s="5" t="s">
        <v>19</v>
      </c>
    </row>
    <row r="227" spans="1:12" x14ac:dyDescent="0.3">
      <c r="A227" s="5" t="s">
        <v>25</v>
      </c>
      <c r="B227" s="6">
        <v>0.79810920138888886</v>
      </c>
      <c r="C227">
        <v>4.88</v>
      </c>
      <c r="D227">
        <v>0.01</v>
      </c>
      <c r="E227">
        <v>7.6</v>
      </c>
      <c r="F227">
        <v>0</v>
      </c>
      <c r="G227">
        <v>0.03</v>
      </c>
      <c r="H227">
        <v>0.14000000000000001</v>
      </c>
      <c r="I227">
        <v>0.08</v>
      </c>
      <c r="J227">
        <v>0.18</v>
      </c>
      <c r="K227">
        <v>60.002000000000002</v>
      </c>
      <c r="L227" s="5" t="s">
        <v>19</v>
      </c>
    </row>
    <row r="228" spans="1:12" x14ac:dyDescent="0.3">
      <c r="A228" s="5" t="s">
        <v>25</v>
      </c>
      <c r="B228" s="6">
        <v>0.79812077546296301</v>
      </c>
      <c r="C228">
        <v>4.71</v>
      </c>
      <c r="D228">
        <v>0.01</v>
      </c>
      <c r="E228">
        <v>7.4</v>
      </c>
      <c r="F228">
        <v>0</v>
      </c>
      <c r="G228">
        <v>0.03</v>
      </c>
      <c r="H228">
        <v>0.14000000000000001</v>
      </c>
      <c r="I228">
        <v>0.08</v>
      </c>
      <c r="J228">
        <v>0.18</v>
      </c>
      <c r="K228">
        <v>60.000999999999998</v>
      </c>
      <c r="L228" s="5" t="s">
        <v>19</v>
      </c>
    </row>
    <row r="229" spans="1:12" x14ac:dyDescent="0.3">
      <c r="A229" s="5" t="s">
        <v>25</v>
      </c>
      <c r="B229" s="6">
        <v>0.79813234953703704</v>
      </c>
      <c r="C229">
        <v>4.95</v>
      </c>
      <c r="D229">
        <v>0.01</v>
      </c>
      <c r="E229">
        <v>7.7</v>
      </c>
      <c r="F229">
        <v>0</v>
      </c>
      <c r="G229">
        <v>0.03</v>
      </c>
      <c r="H229">
        <v>0.14000000000000001</v>
      </c>
      <c r="I229">
        <v>0.08</v>
      </c>
      <c r="J229">
        <v>0.18</v>
      </c>
      <c r="K229">
        <v>59.999000000000002</v>
      </c>
      <c r="L229" s="5" t="s">
        <v>19</v>
      </c>
    </row>
    <row r="230" spans="1:12" x14ac:dyDescent="0.3">
      <c r="A230" s="5" t="s">
        <v>25</v>
      </c>
      <c r="B230" s="6">
        <v>0.79814392361111108</v>
      </c>
      <c r="C230">
        <v>4.6399999999999997</v>
      </c>
      <c r="D230">
        <v>0.01</v>
      </c>
      <c r="E230">
        <v>7.3</v>
      </c>
      <c r="F230">
        <v>0</v>
      </c>
      <c r="G230">
        <v>0.03</v>
      </c>
      <c r="H230">
        <v>0.14000000000000001</v>
      </c>
      <c r="I230">
        <v>0.08</v>
      </c>
      <c r="J230">
        <v>0.18</v>
      </c>
      <c r="K230">
        <v>59.999000000000002</v>
      </c>
      <c r="L230" s="5" t="s">
        <v>19</v>
      </c>
    </row>
    <row r="231" spans="1:12" x14ac:dyDescent="0.3">
      <c r="A231" s="5" t="s">
        <v>25</v>
      </c>
      <c r="B231" s="6">
        <v>0.79815549768518523</v>
      </c>
      <c r="C231">
        <v>4.87</v>
      </c>
      <c r="D231">
        <v>0.01</v>
      </c>
      <c r="E231">
        <v>7.7</v>
      </c>
      <c r="F231">
        <v>0</v>
      </c>
      <c r="G231">
        <v>0.03</v>
      </c>
      <c r="H231">
        <v>0.14000000000000001</v>
      </c>
      <c r="I231">
        <v>0.08</v>
      </c>
      <c r="J231">
        <v>0.18</v>
      </c>
      <c r="K231">
        <v>59.997</v>
      </c>
      <c r="L231" s="5" t="s">
        <v>19</v>
      </c>
    </row>
    <row r="232" spans="1:12" x14ac:dyDescent="0.3">
      <c r="A232" s="5" t="s">
        <v>25</v>
      </c>
      <c r="B232" s="6">
        <v>0.79816707175925927</v>
      </c>
      <c r="C232">
        <v>4.7699999999999996</v>
      </c>
      <c r="D232">
        <v>0.01</v>
      </c>
      <c r="E232">
        <v>7.5</v>
      </c>
      <c r="F232">
        <v>0</v>
      </c>
      <c r="G232">
        <v>0.03</v>
      </c>
      <c r="H232">
        <v>0.14000000000000001</v>
      </c>
      <c r="I232">
        <v>0.08</v>
      </c>
      <c r="J232">
        <v>0.18</v>
      </c>
      <c r="K232">
        <v>59.997999999999998</v>
      </c>
      <c r="L232" s="5" t="s">
        <v>19</v>
      </c>
    </row>
    <row r="233" spans="1:12" x14ac:dyDescent="0.3">
      <c r="A233" s="5" t="s">
        <v>25</v>
      </c>
      <c r="B233" s="6">
        <v>0.79817864583333331</v>
      </c>
      <c r="C233">
        <v>4.7300000000000004</v>
      </c>
      <c r="D233">
        <v>0.01</v>
      </c>
      <c r="E233">
        <v>7.5</v>
      </c>
      <c r="F233">
        <v>0</v>
      </c>
      <c r="G233">
        <v>0.03</v>
      </c>
      <c r="H233">
        <v>0.14000000000000001</v>
      </c>
      <c r="I233">
        <v>0.08</v>
      </c>
      <c r="J233">
        <v>0.18</v>
      </c>
      <c r="K233">
        <v>59.996000000000002</v>
      </c>
      <c r="L233" s="5" t="s">
        <v>19</v>
      </c>
    </row>
    <row r="234" spans="1:12" x14ac:dyDescent="0.3">
      <c r="A234" s="5" t="s">
        <v>25</v>
      </c>
      <c r="B234" s="6">
        <v>0.79819021990740746</v>
      </c>
      <c r="C234">
        <v>5</v>
      </c>
      <c r="D234">
        <v>0.01</v>
      </c>
      <c r="E234">
        <v>7.8</v>
      </c>
      <c r="F234">
        <v>0</v>
      </c>
      <c r="G234">
        <v>0.03</v>
      </c>
      <c r="H234">
        <v>0.14000000000000001</v>
      </c>
      <c r="I234">
        <v>0.08</v>
      </c>
      <c r="J234">
        <v>0.18</v>
      </c>
      <c r="K234">
        <v>59.996000000000002</v>
      </c>
      <c r="L234" s="5" t="s">
        <v>19</v>
      </c>
    </row>
    <row r="235" spans="1:12" x14ac:dyDescent="0.3">
      <c r="A235" s="5" t="s">
        <v>25</v>
      </c>
      <c r="B235" s="6">
        <v>0.7982017939814815</v>
      </c>
      <c r="C235">
        <v>4.62</v>
      </c>
      <c r="D235">
        <v>0.01</v>
      </c>
      <c r="E235">
        <v>7.4</v>
      </c>
      <c r="F235">
        <v>0</v>
      </c>
      <c r="G235">
        <v>0.03</v>
      </c>
      <c r="H235">
        <v>0.14000000000000001</v>
      </c>
      <c r="I235">
        <v>0.08</v>
      </c>
      <c r="J235">
        <v>0.18</v>
      </c>
      <c r="K235">
        <v>59.994999999999997</v>
      </c>
      <c r="L235" s="5" t="s">
        <v>19</v>
      </c>
    </row>
    <row r="236" spans="1:12" x14ac:dyDescent="0.3">
      <c r="A236" s="5" t="s">
        <v>25</v>
      </c>
      <c r="B236" s="6">
        <v>0.79821336805555554</v>
      </c>
      <c r="C236">
        <v>4.96</v>
      </c>
      <c r="D236">
        <v>0.01</v>
      </c>
      <c r="E236">
        <v>7.8</v>
      </c>
      <c r="F236">
        <v>0</v>
      </c>
      <c r="G236">
        <v>0.03</v>
      </c>
      <c r="H236">
        <v>0.14000000000000001</v>
      </c>
      <c r="I236">
        <v>0.08</v>
      </c>
      <c r="J236">
        <v>0.18</v>
      </c>
      <c r="K236">
        <v>59.994999999999997</v>
      </c>
      <c r="L236" s="5" t="s">
        <v>19</v>
      </c>
    </row>
    <row r="237" spans="1:12" x14ac:dyDescent="0.3">
      <c r="A237" s="5" t="s">
        <v>25</v>
      </c>
      <c r="B237" s="6">
        <v>0.79822494212962958</v>
      </c>
      <c r="C237">
        <v>4.66</v>
      </c>
      <c r="D237">
        <v>0.01</v>
      </c>
      <c r="E237">
        <v>7.3</v>
      </c>
      <c r="F237">
        <v>0</v>
      </c>
      <c r="G237">
        <v>0.03</v>
      </c>
      <c r="H237">
        <v>0.14000000000000001</v>
      </c>
      <c r="I237">
        <v>0.08</v>
      </c>
      <c r="J237">
        <v>0.18</v>
      </c>
      <c r="K237">
        <v>59.996000000000002</v>
      </c>
      <c r="L237" s="5" t="s">
        <v>19</v>
      </c>
    </row>
    <row r="238" spans="1:12" x14ac:dyDescent="0.3">
      <c r="A238" s="5" t="s">
        <v>25</v>
      </c>
      <c r="B238" s="6">
        <v>0.79823651620370373</v>
      </c>
      <c r="C238">
        <v>4.87</v>
      </c>
      <c r="D238">
        <v>0.01</v>
      </c>
      <c r="E238">
        <v>7.6</v>
      </c>
      <c r="F238">
        <v>0</v>
      </c>
      <c r="G238">
        <v>0.03</v>
      </c>
      <c r="H238">
        <v>0.14000000000000001</v>
      </c>
      <c r="I238">
        <v>0.08</v>
      </c>
      <c r="J238">
        <v>0.18</v>
      </c>
      <c r="K238">
        <v>59.994</v>
      </c>
      <c r="L238" s="5" t="s">
        <v>19</v>
      </c>
    </row>
    <row r="239" spans="1:12" x14ac:dyDescent="0.3">
      <c r="A239" s="5" t="s">
        <v>25</v>
      </c>
      <c r="B239" s="6">
        <v>0.79824809027777777</v>
      </c>
      <c r="C239">
        <v>4.8</v>
      </c>
      <c r="D239">
        <v>0.01</v>
      </c>
      <c r="E239">
        <v>7.5</v>
      </c>
      <c r="F239">
        <v>0</v>
      </c>
      <c r="G239">
        <v>0.03</v>
      </c>
      <c r="H239">
        <v>0.14000000000000001</v>
      </c>
      <c r="I239">
        <v>0.08</v>
      </c>
      <c r="J239">
        <v>0.18</v>
      </c>
      <c r="K239">
        <v>59.996000000000002</v>
      </c>
      <c r="L239" s="5" t="s">
        <v>19</v>
      </c>
    </row>
    <row r="240" spans="1:12" x14ac:dyDescent="0.3">
      <c r="A240" s="5" t="s">
        <v>25</v>
      </c>
      <c r="B240" s="6">
        <v>0.79825966435185181</v>
      </c>
      <c r="C240">
        <v>4.71</v>
      </c>
      <c r="D240">
        <v>0.01</v>
      </c>
      <c r="E240">
        <v>7.5</v>
      </c>
      <c r="F240">
        <v>0</v>
      </c>
      <c r="G240">
        <v>0.03</v>
      </c>
      <c r="H240">
        <v>0.14000000000000001</v>
      </c>
      <c r="I240">
        <v>0.08</v>
      </c>
      <c r="J240">
        <v>0.18</v>
      </c>
      <c r="K240">
        <v>59.994999999999997</v>
      </c>
      <c r="L240" s="5" t="s">
        <v>19</v>
      </c>
    </row>
    <row r="241" spans="1:12" x14ac:dyDescent="0.3">
      <c r="A241" s="5" t="s">
        <v>25</v>
      </c>
      <c r="B241" s="6">
        <v>0.79827123842592596</v>
      </c>
      <c r="C241">
        <v>5.0199999999999996</v>
      </c>
      <c r="D241">
        <v>0.01</v>
      </c>
      <c r="E241">
        <v>7.8</v>
      </c>
      <c r="F241">
        <v>0</v>
      </c>
      <c r="G241">
        <v>0.03</v>
      </c>
      <c r="H241">
        <v>0.14000000000000001</v>
      </c>
      <c r="I241">
        <v>0.08</v>
      </c>
      <c r="J241">
        <v>0.18</v>
      </c>
      <c r="K241">
        <v>59.996000000000002</v>
      </c>
      <c r="L241" s="5" t="s">
        <v>19</v>
      </c>
    </row>
    <row r="242" spans="1:12" x14ac:dyDescent="0.3">
      <c r="A242" s="5" t="s">
        <v>25</v>
      </c>
      <c r="B242" s="6">
        <v>0.79828281249999999</v>
      </c>
      <c r="C242">
        <v>4.5999999999999996</v>
      </c>
      <c r="D242">
        <v>0.01</v>
      </c>
      <c r="E242">
        <v>7.3</v>
      </c>
      <c r="F242">
        <v>0</v>
      </c>
      <c r="G242">
        <v>0.03</v>
      </c>
      <c r="H242">
        <v>0.14000000000000001</v>
      </c>
      <c r="I242">
        <v>0.08</v>
      </c>
      <c r="J242">
        <v>0.18</v>
      </c>
      <c r="K242">
        <v>59.996000000000002</v>
      </c>
      <c r="L242" s="5" t="s">
        <v>19</v>
      </c>
    </row>
    <row r="243" spans="1:12" x14ac:dyDescent="0.3">
      <c r="A243" s="5" t="s">
        <v>25</v>
      </c>
      <c r="B243" s="6">
        <v>0.79829438657407403</v>
      </c>
      <c r="C243">
        <v>4.96</v>
      </c>
      <c r="D243">
        <v>0.01</v>
      </c>
      <c r="E243">
        <v>7.8</v>
      </c>
      <c r="F243">
        <v>0</v>
      </c>
      <c r="G243">
        <v>0.03</v>
      </c>
      <c r="H243">
        <v>0.14000000000000001</v>
      </c>
      <c r="I243">
        <v>0.08</v>
      </c>
      <c r="J243">
        <v>0.18</v>
      </c>
      <c r="K243">
        <v>59.996000000000002</v>
      </c>
      <c r="L243" s="5" t="s">
        <v>19</v>
      </c>
    </row>
    <row r="244" spans="1:12" x14ac:dyDescent="0.3">
      <c r="A244" s="5" t="s">
        <v>25</v>
      </c>
      <c r="B244" s="6">
        <v>0.79830596064814818</v>
      </c>
      <c r="C244">
        <v>4.68</v>
      </c>
      <c r="D244">
        <v>0.01</v>
      </c>
      <c r="E244">
        <v>7.4</v>
      </c>
      <c r="F244">
        <v>0</v>
      </c>
      <c r="G244">
        <v>0.03</v>
      </c>
      <c r="H244">
        <v>0.14000000000000001</v>
      </c>
      <c r="I244">
        <v>0.08</v>
      </c>
      <c r="J244">
        <v>0.18</v>
      </c>
      <c r="K244">
        <v>59.997999999999998</v>
      </c>
      <c r="L244" s="5" t="s">
        <v>19</v>
      </c>
    </row>
    <row r="245" spans="1:12" x14ac:dyDescent="0.3">
      <c r="A245" s="5" t="s">
        <v>25</v>
      </c>
      <c r="B245" s="6">
        <v>0.79831753472222222</v>
      </c>
      <c r="C245">
        <v>4.87</v>
      </c>
      <c r="D245">
        <v>0.01</v>
      </c>
      <c r="E245">
        <v>7.8</v>
      </c>
      <c r="F245">
        <v>0</v>
      </c>
      <c r="G245">
        <v>0.03</v>
      </c>
      <c r="H245">
        <v>0.14000000000000001</v>
      </c>
      <c r="I245">
        <v>0.08</v>
      </c>
      <c r="J245">
        <v>0.18</v>
      </c>
      <c r="K245">
        <v>59.997</v>
      </c>
      <c r="L245" s="5" t="s">
        <v>19</v>
      </c>
    </row>
    <row r="246" spans="1:12" x14ac:dyDescent="0.3">
      <c r="A246" s="5" t="s">
        <v>25</v>
      </c>
      <c r="B246" s="6">
        <v>0.79832910879629626</v>
      </c>
      <c r="C246">
        <v>4.8899999999999997</v>
      </c>
      <c r="D246">
        <v>0.01</v>
      </c>
      <c r="E246">
        <v>7.6</v>
      </c>
      <c r="F246">
        <v>0</v>
      </c>
      <c r="G246">
        <v>0.03</v>
      </c>
      <c r="H246">
        <v>0.14000000000000001</v>
      </c>
      <c r="I246">
        <v>0.08</v>
      </c>
      <c r="J246">
        <v>0.18</v>
      </c>
      <c r="K246">
        <v>59.997999999999998</v>
      </c>
      <c r="L246" s="5" t="s">
        <v>19</v>
      </c>
    </row>
    <row r="247" spans="1:12" x14ac:dyDescent="0.3">
      <c r="A247" s="5" t="s">
        <v>25</v>
      </c>
      <c r="B247" s="6">
        <v>0.79834068287037041</v>
      </c>
      <c r="C247">
        <v>4.67</v>
      </c>
      <c r="D247">
        <v>0.01</v>
      </c>
      <c r="E247">
        <v>7.4</v>
      </c>
      <c r="F247">
        <v>0</v>
      </c>
      <c r="G247">
        <v>0.03</v>
      </c>
      <c r="H247">
        <v>0.14000000000000001</v>
      </c>
      <c r="I247">
        <v>0.08</v>
      </c>
      <c r="J247">
        <v>0.18</v>
      </c>
      <c r="K247">
        <v>59.997</v>
      </c>
      <c r="L247" s="5" t="s">
        <v>19</v>
      </c>
    </row>
    <row r="248" spans="1:12" x14ac:dyDescent="0.3">
      <c r="A248" s="5" t="s">
        <v>25</v>
      </c>
      <c r="B248" s="6">
        <v>0.79835225694444445</v>
      </c>
      <c r="C248">
        <v>4.95</v>
      </c>
      <c r="D248">
        <v>0.01</v>
      </c>
      <c r="E248">
        <v>7.7</v>
      </c>
      <c r="F248">
        <v>0</v>
      </c>
      <c r="G248">
        <v>0.03</v>
      </c>
      <c r="H248">
        <v>0.14000000000000001</v>
      </c>
      <c r="I248">
        <v>0.08</v>
      </c>
      <c r="J248">
        <v>0.18</v>
      </c>
      <c r="K248">
        <v>59.997999999999998</v>
      </c>
      <c r="L248" s="5" t="s">
        <v>19</v>
      </c>
    </row>
    <row r="249" spans="1:12" x14ac:dyDescent="0.3">
      <c r="A249" s="5" t="s">
        <v>25</v>
      </c>
      <c r="B249" s="6">
        <v>0.79836383101851849</v>
      </c>
      <c r="C249">
        <v>4.6100000000000003</v>
      </c>
      <c r="D249">
        <v>0.01</v>
      </c>
      <c r="E249">
        <v>7.3</v>
      </c>
      <c r="F249">
        <v>0</v>
      </c>
      <c r="G249">
        <v>0.03</v>
      </c>
      <c r="H249">
        <v>0.14000000000000001</v>
      </c>
      <c r="I249">
        <v>0.08</v>
      </c>
      <c r="J249">
        <v>0.18</v>
      </c>
      <c r="K249">
        <v>59.997999999999998</v>
      </c>
      <c r="L249" s="5" t="s">
        <v>19</v>
      </c>
    </row>
    <row r="250" spans="1:12" x14ac:dyDescent="0.3">
      <c r="A250" s="5" t="s">
        <v>25</v>
      </c>
      <c r="B250" s="6">
        <v>0.79837540509259264</v>
      </c>
      <c r="C250">
        <v>4.9000000000000004</v>
      </c>
      <c r="D250">
        <v>0.01</v>
      </c>
      <c r="E250">
        <v>7.7</v>
      </c>
      <c r="F250">
        <v>0</v>
      </c>
      <c r="G250">
        <v>0.03</v>
      </c>
      <c r="H250">
        <v>0.14000000000000001</v>
      </c>
      <c r="I250">
        <v>0.08</v>
      </c>
      <c r="J250">
        <v>0.18</v>
      </c>
      <c r="K250">
        <v>59.997999999999998</v>
      </c>
      <c r="L250" s="5" t="s">
        <v>19</v>
      </c>
    </row>
    <row r="251" spans="1:12" x14ac:dyDescent="0.3">
      <c r="A251" s="5" t="s">
        <v>25</v>
      </c>
      <c r="B251" s="6">
        <v>0.79838697916666668</v>
      </c>
      <c r="C251">
        <v>4.7</v>
      </c>
      <c r="D251">
        <v>0.01</v>
      </c>
      <c r="E251">
        <v>7.3</v>
      </c>
      <c r="F251">
        <v>0</v>
      </c>
      <c r="G251">
        <v>0.03</v>
      </c>
      <c r="H251">
        <v>0.14000000000000001</v>
      </c>
      <c r="I251">
        <v>0.08</v>
      </c>
      <c r="J251">
        <v>0.18</v>
      </c>
      <c r="K251">
        <v>59.997999999999998</v>
      </c>
      <c r="L251" s="5" t="s">
        <v>19</v>
      </c>
    </row>
    <row r="252" spans="1:12" x14ac:dyDescent="0.3">
      <c r="A252" s="5" t="s">
        <v>25</v>
      </c>
      <c r="B252" s="6">
        <v>0.79839855324074072</v>
      </c>
      <c r="C252">
        <v>4.76</v>
      </c>
      <c r="D252">
        <v>0.01</v>
      </c>
      <c r="E252">
        <v>7.6</v>
      </c>
      <c r="F252">
        <v>0</v>
      </c>
      <c r="G252">
        <v>0.03</v>
      </c>
      <c r="H252">
        <v>0.14000000000000001</v>
      </c>
      <c r="I252">
        <v>0.08</v>
      </c>
      <c r="J252">
        <v>0.18</v>
      </c>
      <c r="K252">
        <v>59.997</v>
      </c>
      <c r="L252" s="5" t="s">
        <v>19</v>
      </c>
    </row>
    <row r="253" spans="1:12" x14ac:dyDescent="0.3">
      <c r="A253" s="5" t="s">
        <v>25</v>
      </c>
      <c r="B253" s="6">
        <v>0.79841012731481487</v>
      </c>
      <c r="C253">
        <v>4.92</v>
      </c>
      <c r="D253">
        <v>0.01</v>
      </c>
      <c r="E253">
        <v>7.6</v>
      </c>
      <c r="F253">
        <v>0</v>
      </c>
      <c r="G253">
        <v>0.03</v>
      </c>
      <c r="H253">
        <v>0.14000000000000001</v>
      </c>
      <c r="I253">
        <v>0.08</v>
      </c>
      <c r="J253">
        <v>0.18</v>
      </c>
      <c r="K253">
        <v>59.997999999999998</v>
      </c>
      <c r="L253" s="5" t="s">
        <v>19</v>
      </c>
    </row>
    <row r="254" spans="1:12" x14ac:dyDescent="0.3">
      <c r="A254" s="5" t="s">
        <v>25</v>
      </c>
      <c r="B254" s="6">
        <v>0.7984217013888889</v>
      </c>
      <c r="C254">
        <v>4.66</v>
      </c>
      <c r="D254">
        <v>0.01</v>
      </c>
      <c r="E254">
        <v>7.4</v>
      </c>
      <c r="F254">
        <v>0</v>
      </c>
      <c r="G254">
        <v>0.03</v>
      </c>
      <c r="H254">
        <v>0.14000000000000001</v>
      </c>
      <c r="I254">
        <v>0.08</v>
      </c>
      <c r="J254">
        <v>0.18</v>
      </c>
      <c r="K254">
        <v>59.997</v>
      </c>
      <c r="L254" s="5" t="s">
        <v>19</v>
      </c>
    </row>
    <row r="255" spans="1:12" x14ac:dyDescent="0.3">
      <c r="A255" s="5" t="s">
        <v>25</v>
      </c>
      <c r="B255" s="6">
        <v>0.79843327546296294</v>
      </c>
      <c r="C255">
        <v>5.09</v>
      </c>
      <c r="D255">
        <v>0.01</v>
      </c>
      <c r="E255">
        <v>7.9</v>
      </c>
      <c r="F255">
        <v>0</v>
      </c>
      <c r="G255">
        <v>0.03</v>
      </c>
      <c r="H255">
        <v>0.14000000000000001</v>
      </c>
      <c r="I255">
        <v>0.08</v>
      </c>
      <c r="J255">
        <v>0.18</v>
      </c>
      <c r="K255">
        <v>59.996000000000002</v>
      </c>
      <c r="L255" s="5" t="s">
        <v>19</v>
      </c>
    </row>
    <row r="256" spans="1:12" x14ac:dyDescent="0.3">
      <c r="A256" s="5" t="s">
        <v>25</v>
      </c>
      <c r="B256" s="6">
        <v>0.79844484953703698</v>
      </c>
      <c r="C256">
        <v>4.62</v>
      </c>
      <c r="D256">
        <v>0.01</v>
      </c>
      <c r="E256">
        <v>7.3</v>
      </c>
      <c r="F256">
        <v>0</v>
      </c>
      <c r="G256">
        <v>0.03</v>
      </c>
      <c r="H256">
        <v>0.14000000000000001</v>
      </c>
      <c r="I256">
        <v>0.08</v>
      </c>
      <c r="J256">
        <v>0.18</v>
      </c>
      <c r="K256">
        <v>59.997</v>
      </c>
      <c r="L256" s="5" t="s">
        <v>19</v>
      </c>
    </row>
    <row r="257" spans="1:12" x14ac:dyDescent="0.3">
      <c r="A257" s="5" t="s">
        <v>25</v>
      </c>
      <c r="B257" s="6">
        <v>0.79845642361111113</v>
      </c>
      <c r="C257">
        <v>4.8899999999999997</v>
      </c>
      <c r="D257">
        <v>0.01</v>
      </c>
      <c r="E257">
        <v>7.8</v>
      </c>
      <c r="F257">
        <v>0</v>
      </c>
      <c r="G257">
        <v>0.03</v>
      </c>
      <c r="H257">
        <v>0.14000000000000001</v>
      </c>
      <c r="I257">
        <v>0.08</v>
      </c>
      <c r="J257">
        <v>0.18</v>
      </c>
      <c r="K257">
        <v>59.996000000000002</v>
      </c>
      <c r="L257" s="5" t="s">
        <v>19</v>
      </c>
    </row>
    <row r="258" spans="1:12" x14ac:dyDescent="0.3">
      <c r="A258" s="5" t="s">
        <v>25</v>
      </c>
      <c r="B258" s="6">
        <v>0.79846799768518517</v>
      </c>
      <c r="C258">
        <v>4.7300000000000004</v>
      </c>
      <c r="D258">
        <v>0.01</v>
      </c>
      <c r="E258">
        <v>7.4</v>
      </c>
      <c r="F258">
        <v>0</v>
      </c>
      <c r="G258">
        <v>0.03</v>
      </c>
      <c r="H258">
        <v>0.14000000000000001</v>
      </c>
      <c r="I258">
        <v>0.08</v>
      </c>
      <c r="J258">
        <v>0.18</v>
      </c>
      <c r="K258">
        <v>59.996000000000002</v>
      </c>
      <c r="L258" s="5" t="s">
        <v>19</v>
      </c>
    </row>
    <row r="259" spans="1:12" x14ac:dyDescent="0.3">
      <c r="A259" s="5" t="s">
        <v>25</v>
      </c>
      <c r="B259" s="6">
        <v>0.79847957175925921</v>
      </c>
      <c r="C259">
        <v>4.71</v>
      </c>
      <c r="D259">
        <v>0.01</v>
      </c>
      <c r="E259">
        <v>7.5</v>
      </c>
      <c r="F259">
        <v>0</v>
      </c>
      <c r="G259">
        <v>0.03</v>
      </c>
      <c r="H259">
        <v>0.14000000000000001</v>
      </c>
      <c r="I259">
        <v>0.08</v>
      </c>
      <c r="J259">
        <v>0.18</v>
      </c>
      <c r="K259">
        <v>59.996000000000002</v>
      </c>
      <c r="L259" s="5" t="s">
        <v>19</v>
      </c>
    </row>
    <row r="260" spans="1:12" x14ac:dyDescent="0.3">
      <c r="A260" s="5" t="s">
        <v>25</v>
      </c>
      <c r="B260" s="6">
        <v>0.79849114583333336</v>
      </c>
      <c r="C260">
        <v>4.91</v>
      </c>
      <c r="D260">
        <v>0.01</v>
      </c>
      <c r="E260">
        <v>7.6</v>
      </c>
      <c r="F260">
        <v>0</v>
      </c>
      <c r="G260">
        <v>0.03</v>
      </c>
      <c r="H260">
        <v>0.14000000000000001</v>
      </c>
      <c r="I260">
        <v>0.08</v>
      </c>
      <c r="J260">
        <v>0.18</v>
      </c>
      <c r="K260">
        <v>59.996000000000002</v>
      </c>
      <c r="L260" s="5" t="s">
        <v>19</v>
      </c>
    </row>
    <row r="261" spans="1:12" x14ac:dyDescent="0.3">
      <c r="A261" s="5" t="s">
        <v>25</v>
      </c>
      <c r="B261" s="6">
        <v>0.7985027199074074</v>
      </c>
      <c r="C261">
        <v>4.6500000000000004</v>
      </c>
      <c r="D261">
        <v>0.01</v>
      </c>
      <c r="E261">
        <v>7.4</v>
      </c>
      <c r="F261">
        <v>0</v>
      </c>
      <c r="G261">
        <v>0.03</v>
      </c>
      <c r="H261">
        <v>0.14000000000000001</v>
      </c>
      <c r="I261">
        <v>0.08</v>
      </c>
      <c r="J261">
        <v>0.18</v>
      </c>
      <c r="K261">
        <v>59.996000000000002</v>
      </c>
      <c r="L261" s="5" t="s">
        <v>19</v>
      </c>
    </row>
    <row r="262" spans="1:12" x14ac:dyDescent="0.3">
      <c r="A262" s="5" t="s">
        <v>25</v>
      </c>
      <c r="B262" s="6">
        <v>0.79851429398148144</v>
      </c>
      <c r="C262">
        <v>4.97</v>
      </c>
      <c r="D262">
        <v>0.01</v>
      </c>
      <c r="E262">
        <v>7.8</v>
      </c>
      <c r="F262">
        <v>0</v>
      </c>
      <c r="G262">
        <v>0.03</v>
      </c>
      <c r="H262">
        <v>0.14000000000000001</v>
      </c>
      <c r="I262">
        <v>0.08</v>
      </c>
      <c r="J262">
        <v>0.18</v>
      </c>
      <c r="K262">
        <v>59.996000000000002</v>
      </c>
      <c r="L262" s="5" t="s">
        <v>19</v>
      </c>
    </row>
    <row r="263" spans="1:12" x14ac:dyDescent="0.3">
      <c r="A263" s="5" t="s">
        <v>25</v>
      </c>
      <c r="B263" s="6">
        <v>0.79852586805555559</v>
      </c>
      <c r="C263">
        <v>4.6500000000000004</v>
      </c>
      <c r="D263">
        <v>0.01</v>
      </c>
      <c r="E263">
        <v>7.3</v>
      </c>
      <c r="F263">
        <v>0</v>
      </c>
      <c r="G263">
        <v>0.03</v>
      </c>
      <c r="H263">
        <v>0.14000000000000001</v>
      </c>
      <c r="I263">
        <v>0.08</v>
      </c>
      <c r="J263">
        <v>0.18</v>
      </c>
      <c r="K263">
        <v>59.997</v>
      </c>
      <c r="L263" s="5" t="s">
        <v>19</v>
      </c>
    </row>
    <row r="264" spans="1:12" x14ac:dyDescent="0.3">
      <c r="A264" s="5" t="s">
        <v>25</v>
      </c>
      <c r="B264" s="6">
        <v>0.79853744212962963</v>
      </c>
      <c r="C264">
        <v>4.91</v>
      </c>
      <c r="D264">
        <v>0.01</v>
      </c>
      <c r="E264">
        <v>7.7</v>
      </c>
      <c r="F264">
        <v>0</v>
      </c>
      <c r="G264">
        <v>0.03</v>
      </c>
      <c r="H264">
        <v>0.14000000000000001</v>
      </c>
      <c r="I264">
        <v>0.08</v>
      </c>
      <c r="J264">
        <v>0.18</v>
      </c>
      <c r="K264">
        <v>59.997</v>
      </c>
      <c r="L264" s="5" t="s">
        <v>19</v>
      </c>
    </row>
    <row r="265" spans="1:12" x14ac:dyDescent="0.3">
      <c r="A265" s="5" t="s">
        <v>25</v>
      </c>
      <c r="B265" s="6">
        <v>0.79854901620370367</v>
      </c>
      <c r="C265">
        <v>4.7699999999999996</v>
      </c>
      <c r="D265">
        <v>0.01</v>
      </c>
      <c r="E265">
        <v>7.5</v>
      </c>
      <c r="F265">
        <v>0</v>
      </c>
      <c r="G265">
        <v>0.03</v>
      </c>
      <c r="H265">
        <v>0.14000000000000001</v>
      </c>
      <c r="I265">
        <v>0.08</v>
      </c>
      <c r="J265">
        <v>0.18</v>
      </c>
      <c r="K265">
        <v>59.997999999999998</v>
      </c>
      <c r="L265" s="5" t="s">
        <v>19</v>
      </c>
    </row>
    <row r="266" spans="1:12" x14ac:dyDescent="0.3">
      <c r="A266" s="5" t="s">
        <v>25</v>
      </c>
      <c r="B266" s="6">
        <v>0.79856059027777782</v>
      </c>
      <c r="C266">
        <v>4.75</v>
      </c>
      <c r="D266">
        <v>0.01</v>
      </c>
      <c r="E266">
        <v>7.6</v>
      </c>
      <c r="F266">
        <v>0</v>
      </c>
      <c r="G266">
        <v>0.03</v>
      </c>
      <c r="H266">
        <v>0.14000000000000001</v>
      </c>
      <c r="I266">
        <v>0.08</v>
      </c>
      <c r="J266">
        <v>0.18</v>
      </c>
      <c r="K266">
        <v>59.997</v>
      </c>
      <c r="L266" s="5" t="s">
        <v>19</v>
      </c>
    </row>
    <row r="267" spans="1:12" x14ac:dyDescent="0.3">
      <c r="A267" s="5" t="s">
        <v>25</v>
      </c>
      <c r="B267" s="6">
        <v>0.79857216435185185</v>
      </c>
      <c r="C267">
        <v>4.96</v>
      </c>
      <c r="D267">
        <v>0.01</v>
      </c>
      <c r="E267">
        <v>7.7</v>
      </c>
      <c r="F267">
        <v>0</v>
      </c>
      <c r="G267">
        <v>0.03</v>
      </c>
      <c r="H267">
        <v>0.14000000000000001</v>
      </c>
      <c r="I267">
        <v>0.08</v>
      </c>
      <c r="J267">
        <v>0.18</v>
      </c>
      <c r="K267">
        <v>59.997999999999998</v>
      </c>
      <c r="L267" s="5" t="s">
        <v>19</v>
      </c>
    </row>
    <row r="268" spans="1:12" x14ac:dyDescent="0.3">
      <c r="A268" s="5" t="s">
        <v>25</v>
      </c>
      <c r="B268" s="6">
        <v>0.79858373842592589</v>
      </c>
      <c r="C268">
        <v>4.62</v>
      </c>
      <c r="D268">
        <v>0.01</v>
      </c>
      <c r="E268">
        <v>7.4</v>
      </c>
      <c r="F268">
        <v>0</v>
      </c>
      <c r="G268">
        <v>0.03</v>
      </c>
      <c r="H268">
        <v>0.14000000000000001</v>
      </c>
      <c r="I268">
        <v>0.08</v>
      </c>
      <c r="J268">
        <v>0.18</v>
      </c>
      <c r="K268">
        <v>59.997</v>
      </c>
      <c r="L268" s="5" t="s">
        <v>19</v>
      </c>
    </row>
    <row r="269" spans="1:12" x14ac:dyDescent="0.3">
      <c r="A269" s="5" t="s">
        <v>25</v>
      </c>
      <c r="B269" s="6">
        <v>0.79859531250000004</v>
      </c>
      <c r="C269">
        <v>4.91</v>
      </c>
      <c r="D269">
        <v>0.01</v>
      </c>
      <c r="E269">
        <v>7.7</v>
      </c>
      <c r="F269">
        <v>0</v>
      </c>
      <c r="G269">
        <v>0.03</v>
      </c>
      <c r="H269">
        <v>0.14000000000000001</v>
      </c>
      <c r="I269">
        <v>0.08</v>
      </c>
      <c r="J269">
        <v>0.18</v>
      </c>
      <c r="K269">
        <v>59.996000000000002</v>
      </c>
      <c r="L269" s="5" t="s">
        <v>19</v>
      </c>
    </row>
    <row r="270" spans="1:12" x14ac:dyDescent="0.3">
      <c r="A270" s="5" t="s">
        <v>25</v>
      </c>
      <c r="B270" s="6">
        <v>0.79860688657407408</v>
      </c>
      <c r="C270">
        <v>4.68</v>
      </c>
      <c r="D270">
        <v>0.01</v>
      </c>
      <c r="E270">
        <v>7.4</v>
      </c>
      <c r="F270">
        <v>0</v>
      </c>
      <c r="G270">
        <v>0.03</v>
      </c>
      <c r="H270">
        <v>0.14000000000000001</v>
      </c>
      <c r="I270">
        <v>0.08</v>
      </c>
      <c r="J270">
        <v>0.18</v>
      </c>
      <c r="K270">
        <v>59.996000000000002</v>
      </c>
      <c r="L270" s="5" t="s">
        <v>19</v>
      </c>
    </row>
    <row r="271" spans="1:12" x14ac:dyDescent="0.3">
      <c r="A271" s="5" t="s">
        <v>25</v>
      </c>
      <c r="B271" s="6">
        <v>0.79861846064814812</v>
      </c>
      <c r="C271">
        <v>4.79</v>
      </c>
      <c r="D271">
        <v>0.01</v>
      </c>
      <c r="E271">
        <v>7.5</v>
      </c>
      <c r="F271">
        <v>0</v>
      </c>
      <c r="G271">
        <v>0.03</v>
      </c>
      <c r="H271">
        <v>0.14000000000000001</v>
      </c>
      <c r="I271">
        <v>0.08</v>
      </c>
      <c r="J271">
        <v>0.18</v>
      </c>
      <c r="K271">
        <v>59.994999999999997</v>
      </c>
      <c r="L271" s="5" t="s">
        <v>19</v>
      </c>
    </row>
    <row r="272" spans="1:12" x14ac:dyDescent="0.3">
      <c r="A272" s="5" t="s">
        <v>25</v>
      </c>
      <c r="B272" s="6">
        <v>0.79863003472222227</v>
      </c>
      <c r="C272">
        <v>4.84</v>
      </c>
      <c r="D272">
        <v>0.01</v>
      </c>
      <c r="E272">
        <v>7.6</v>
      </c>
      <c r="F272">
        <v>0</v>
      </c>
      <c r="G272">
        <v>0.03</v>
      </c>
      <c r="H272">
        <v>0.14000000000000001</v>
      </c>
      <c r="I272">
        <v>0.08</v>
      </c>
      <c r="J272">
        <v>0.18</v>
      </c>
      <c r="K272">
        <v>59.994</v>
      </c>
      <c r="L272" s="5" t="s">
        <v>19</v>
      </c>
    </row>
    <row r="273" spans="1:12" x14ac:dyDescent="0.3">
      <c r="A273" s="5" t="s">
        <v>25</v>
      </c>
      <c r="B273" s="6">
        <v>0.79864160879629631</v>
      </c>
      <c r="C273">
        <v>4.7</v>
      </c>
      <c r="D273">
        <v>0.01</v>
      </c>
      <c r="E273">
        <v>7.4</v>
      </c>
      <c r="F273">
        <v>0</v>
      </c>
      <c r="G273">
        <v>0.03</v>
      </c>
      <c r="H273">
        <v>0.14000000000000001</v>
      </c>
      <c r="I273">
        <v>0.08</v>
      </c>
      <c r="J273">
        <v>0.18</v>
      </c>
      <c r="K273">
        <v>59.993000000000002</v>
      </c>
      <c r="L273" s="5" t="s">
        <v>19</v>
      </c>
    </row>
    <row r="274" spans="1:12" x14ac:dyDescent="0.3">
      <c r="A274" s="5" t="s">
        <v>25</v>
      </c>
      <c r="B274" s="6">
        <v>0.79865318287037035</v>
      </c>
      <c r="C274">
        <v>5.03</v>
      </c>
      <c r="D274">
        <v>0.01</v>
      </c>
      <c r="E274">
        <v>7.8</v>
      </c>
      <c r="F274">
        <v>0</v>
      </c>
      <c r="G274">
        <v>0.03</v>
      </c>
      <c r="H274">
        <v>0.14000000000000001</v>
      </c>
      <c r="I274">
        <v>0.08</v>
      </c>
      <c r="J274">
        <v>0.18</v>
      </c>
      <c r="K274">
        <v>59.991</v>
      </c>
      <c r="L274" s="5" t="s">
        <v>19</v>
      </c>
    </row>
    <row r="275" spans="1:12" x14ac:dyDescent="0.3">
      <c r="A275" s="5" t="s">
        <v>25</v>
      </c>
      <c r="B275" s="6">
        <v>0.7986647569444445</v>
      </c>
      <c r="C275">
        <v>4.62</v>
      </c>
      <c r="D275">
        <v>0.01</v>
      </c>
      <c r="E275">
        <v>7.4</v>
      </c>
      <c r="F275">
        <v>0</v>
      </c>
      <c r="G275">
        <v>0.03</v>
      </c>
      <c r="H275">
        <v>0.14000000000000001</v>
      </c>
      <c r="I275">
        <v>0.08</v>
      </c>
      <c r="J275">
        <v>0.18</v>
      </c>
      <c r="K275">
        <v>59.991</v>
      </c>
      <c r="L275" s="5" t="s">
        <v>19</v>
      </c>
    </row>
    <row r="276" spans="1:12" x14ac:dyDescent="0.3">
      <c r="A276" s="5" t="s">
        <v>25</v>
      </c>
      <c r="B276" s="6">
        <v>0.79867633101851854</v>
      </c>
      <c r="C276">
        <v>4.97</v>
      </c>
      <c r="D276">
        <v>0.01</v>
      </c>
      <c r="E276">
        <v>7.8</v>
      </c>
      <c r="F276">
        <v>0</v>
      </c>
      <c r="G276">
        <v>0.03</v>
      </c>
      <c r="H276">
        <v>0.14000000000000001</v>
      </c>
      <c r="I276">
        <v>0.08</v>
      </c>
      <c r="J276">
        <v>0.18</v>
      </c>
      <c r="K276">
        <v>59.988999999999997</v>
      </c>
      <c r="L276" s="5" t="s">
        <v>19</v>
      </c>
    </row>
    <row r="277" spans="1:12" x14ac:dyDescent="0.3">
      <c r="A277" s="5" t="s">
        <v>25</v>
      </c>
      <c r="B277" s="6">
        <v>0.79868790509259258</v>
      </c>
      <c r="C277">
        <v>4.6900000000000004</v>
      </c>
      <c r="D277">
        <v>0.01</v>
      </c>
      <c r="E277">
        <v>7.4</v>
      </c>
      <c r="F277">
        <v>0</v>
      </c>
      <c r="G277">
        <v>0.03</v>
      </c>
      <c r="H277">
        <v>0.14000000000000001</v>
      </c>
      <c r="I277">
        <v>0.08</v>
      </c>
      <c r="J277">
        <v>0.18</v>
      </c>
      <c r="K277">
        <v>59.99</v>
      </c>
      <c r="L277" s="5" t="s">
        <v>19</v>
      </c>
    </row>
    <row r="278" spans="1:12" x14ac:dyDescent="0.3">
      <c r="A278" s="5" t="s">
        <v>25</v>
      </c>
      <c r="B278" s="6">
        <v>0.79869947916666661</v>
      </c>
      <c r="C278">
        <v>4.79</v>
      </c>
      <c r="D278">
        <v>0.01</v>
      </c>
      <c r="E278">
        <v>7.7</v>
      </c>
      <c r="F278">
        <v>0</v>
      </c>
      <c r="G278">
        <v>0.03</v>
      </c>
      <c r="H278">
        <v>0.14000000000000001</v>
      </c>
      <c r="I278">
        <v>0.08</v>
      </c>
      <c r="J278">
        <v>0.18</v>
      </c>
      <c r="K278">
        <v>59.988</v>
      </c>
      <c r="L278" s="5" t="s">
        <v>19</v>
      </c>
    </row>
    <row r="279" spans="1:12" x14ac:dyDescent="0.3">
      <c r="A279" s="5" t="s">
        <v>25</v>
      </c>
      <c r="B279" s="6">
        <v>0.79871105324074076</v>
      </c>
      <c r="C279">
        <v>4.8499999999999996</v>
      </c>
      <c r="D279">
        <v>0.01</v>
      </c>
      <c r="E279">
        <v>7.5</v>
      </c>
      <c r="F279">
        <v>0</v>
      </c>
      <c r="G279">
        <v>0.03</v>
      </c>
      <c r="H279">
        <v>0.14000000000000001</v>
      </c>
      <c r="I279">
        <v>0.08</v>
      </c>
      <c r="J279">
        <v>0.18</v>
      </c>
      <c r="K279">
        <v>59.988</v>
      </c>
      <c r="L279" s="5" t="s">
        <v>19</v>
      </c>
    </row>
    <row r="280" spans="1:12" x14ac:dyDescent="0.3">
      <c r="A280" s="5" t="s">
        <v>25</v>
      </c>
      <c r="B280" s="6">
        <v>0.7987226273148148</v>
      </c>
      <c r="C280">
        <v>4.6900000000000004</v>
      </c>
      <c r="D280">
        <v>0.01</v>
      </c>
      <c r="E280">
        <v>7.5</v>
      </c>
      <c r="F280">
        <v>0</v>
      </c>
      <c r="G280">
        <v>0.03</v>
      </c>
      <c r="H280">
        <v>0.14000000000000001</v>
      </c>
      <c r="I280">
        <v>0.08</v>
      </c>
      <c r="J280">
        <v>0.18</v>
      </c>
      <c r="K280">
        <v>59.988</v>
      </c>
      <c r="L280" s="5" t="s">
        <v>19</v>
      </c>
    </row>
    <row r="281" spans="1:12" x14ac:dyDescent="0.3">
      <c r="A281" s="5" t="s">
        <v>25</v>
      </c>
      <c r="B281" s="6">
        <v>0.79873420138888884</v>
      </c>
      <c r="C281">
        <v>4.9400000000000004</v>
      </c>
      <c r="D281">
        <v>0.01</v>
      </c>
      <c r="E281">
        <v>7.7</v>
      </c>
      <c r="F281">
        <v>0</v>
      </c>
      <c r="G281">
        <v>0.03</v>
      </c>
      <c r="H281">
        <v>0.14000000000000001</v>
      </c>
      <c r="I281">
        <v>0.08</v>
      </c>
      <c r="J281">
        <v>0.18</v>
      </c>
      <c r="K281">
        <v>59.987000000000002</v>
      </c>
      <c r="L281" s="5" t="s">
        <v>19</v>
      </c>
    </row>
    <row r="282" spans="1:12" x14ac:dyDescent="0.3">
      <c r="A282" s="5" t="s">
        <v>25</v>
      </c>
      <c r="B282" s="6">
        <v>0.79874577546296299</v>
      </c>
      <c r="C282">
        <v>4.5599999999999996</v>
      </c>
      <c r="D282">
        <v>0.01</v>
      </c>
      <c r="E282">
        <v>6.9</v>
      </c>
      <c r="F282">
        <v>0</v>
      </c>
      <c r="G282">
        <v>0.03</v>
      </c>
      <c r="H282">
        <v>0.14000000000000001</v>
      </c>
      <c r="I282">
        <v>0.08</v>
      </c>
      <c r="J282">
        <v>0.18</v>
      </c>
      <c r="K282">
        <v>59.987000000000002</v>
      </c>
      <c r="L282" s="5" t="s">
        <v>19</v>
      </c>
    </row>
    <row r="283" spans="1:12" x14ac:dyDescent="0.3">
      <c r="A283" s="5" t="s">
        <v>25</v>
      </c>
      <c r="B283" s="6">
        <v>0.79875734953703703</v>
      </c>
      <c r="C283">
        <v>4.6100000000000003</v>
      </c>
      <c r="D283">
        <v>0.01</v>
      </c>
      <c r="E283">
        <v>6.6</v>
      </c>
      <c r="F283">
        <v>0</v>
      </c>
      <c r="G283">
        <v>0.03</v>
      </c>
      <c r="H283">
        <v>0.14000000000000001</v>
      </c>
      <c r="I283">
        <v>0.08</v>
      </c>
      <c r="J283">
        <v>0.18</v>
      </c>
      <c r="K283">
        <v>59.985999999999997</v>
      </c>
      <c r="L283" s="5" t="s">
        <v>19</v>
      </c>
    </row>
    <row r="284" spans="1:12" x14ac:dyDescent="0.3">
      <c r="A284" s="5" t="s">
        <v>25</v>
      </c>
      <c r="B284" s="6">
        <v>0.79876892361111107</v>
      </c>
      <c r="C284">
        <v>4.55</v>
      </c>
      <c r="D284">
        <v>0.01</v>
      </c>
      <c r="E284">
        <v>6.5</v>
      </c>
      <c r="F284">
        <v>0</v>
      </c>
      <c r="G284">
        <v>0.03</v>
      </c>
      <c r="H284">
        <v>0.14000000000000001</v>
      </c>
      <c r="I284">
        <v>0.08</v>
      </c>
      <c r="J284">
        <v>0.18</v>
      </c>
      <c r="K284">
        <v>59.987000000000002</v>
      </c>
      <c r="L284" s="5" t="s">
        <v>19</v>
      </c>
    </row>
    <row r="285" spans="1:12" x14ac:dyDescent="0.3">
      <c r="A285" s="5" t="s">
        <v>25</v>
      </c>
      <c r="B285" s="6">
        <v>0.79878049768518522</v>
      </c>
      <c r="C285">
        <v>4.55</v>
      </c>
      <c r="D285">
        <v>0.01</v>
      </c>
      <c r="E285">
        <v>6.5</v>
      </c>
      <c r="F285">
        <v>0</v>
      </c>
      <c r="G285">
        <v>0.03</v>
      </c>
      <c r="H285">
        <v>0.14000000000000001</v>
      </c>
      <c r="I285">
        <v>0.08</v>
      </c>
      <c r="J285">
        <v>0.18</v>
      </c>
      <c r="K285">
        <v>59.985999999999997</v>
      </c>
      <c r="L285" s="5" t="s">
        <v>19</v>
      </c>
    </row>
    <row r="286" spans="1:12" x14ac:dyDescent="0.3">
      <c r="A286" s="5" t="s">
        <v>25</v>
      </c>
      <c r="B286" s="6">
        <v>0.79879207175925926</v>
      </c>
      <c r="C286">
        <v>4.54</v>
      </c>
      <c r="D286">
        <v>0.01</v>
      </c>
      <c r="E286">
        <v>6.5</v>
      </c>
      <c r="F286">
        <v>0</v>
      </c>
      <c r="G286">
        <v>0.03</v>
      </c>
      <c r="H286">
        <v>0.14000000000000001</v>
      </c>
      <c r="I286">
        <v>0.08</v>
      </c>
      <c r="J286">
        <v>0.18</v>
      </c>
      <c r="K286">
        <v>59.985999999999997</v>
      </c>
      <c r="L286" s="5" t="s">
        <v>19</v>
      </c>
    </row>
    <row r="287" spans="1:12" x14ac:dyDescent="0.3">
      <c r="A287" s="5" t="s">
        <v>25</v>
      </c>
      <c r="B287" s="6">
        <v>0.7988036458333333</v>
      </c>
      <c r="C287">
        <v>4.53</v>
      </c>
      <c r="D287">
        <v>0.01</v>
      </c>
      <c r="E287">
        <v>6.5</v>
      </c>
      <c r="F287">
        <v>0</v>
      </c>
      <c r="G287">
        <v>0.03</v>
      </c>
      <c r="H287">
        <v>0.14000000000000001</v>
      </c>
      <c r="I287">
        <v>0.08</v>
      </c>
      <c r="J287">
        <v>0.18</v>
      </c>
      <c r="K287">
        <v>59.984999999999999</v>
      </c>
      <c r="L287" s="5" t="s">
        <v>19</v>
      </c>
    </row>
    <row r="288" spans="1:12" x14ac:dyDescent="0.3">
      <c r="A288" s="5" t="s">
        <v>25</v>
      </c>
      <c r="B288" s="6">
        <v>0.79881521990740745</v>
      </c>
      <c r="C288">
        <v>4.5199999999999996</v>
      </c>
      <c r="D288">
        <v>0.01</v>
      </c>
      <c r="E288">
        <v>6.5</v>
      </c>
      <c r="F288">
        <v>0</v>
      </c>
      <c r="G288">
        <v>0.03</v>
      </c>
      <c r="H288">
        <v>0.14000000000000001</v>
      </c>
      <c r="I288">
        <v>0.08</v>
      </c>
      <c r="J288">
        <v>0.18</v>
      </c>
      <c r="K288">
        <v>59.984999999999999</v>
      </c>
      <c r="L288" s="5" t="s">
        <v>19</v>
      </c>
    </row>
    <row r="289" spans="1:12" x14ac:dyDescent="0.3">
      <c r="A289" s="5" t="s">
        <v>25</v>
      </c>
      <c r="B289" s="6">
        <v>0.79882679398148149</v>
      </c>
      <c r="C289">
        <v>4.55</v>
      </c>
      <c r="D289">
        <v>0.01</v>
      </c>
      <c r="E289">
        <v>6.5</v>
      </c>
      <c r="F289">
        <v>0</v>
      </c>
      <c r="G289">
        <v>0.03</v>
      </c>
      <c r="H289">
        <v>0.14000000000000001</v>
      </c>
      <c r="I289">
        <v>0.08</v>
      </c>
      <c r="J289">
        <v>0.18</v>
      </c>
      <c r="K289">
        <v>59.984999999999999</v>
      </c>
      <c r="L289" s="5" t="s">
        <v>19</v>
      </c>
    </row>
    <row r="290" spans="1:12" x14ac:dyDescent="0.3">
      <c r="A290" s="5" t="s">
        <v>25</v>
      </c>
      <c r="B290" s="6">
        <v>0.79883836805555553</v>
      </c>
      <c r="C290">
        <v>4.58</v>
      </c>
      <c r="D290">
        <v>0.01</v>
      </c>
      <c r="E290">
        <v>6.5</v>
      </c>
      <c r="F290">
        <v>0</v>
      </c>
      <c r="G290">
        <v>0.03</v>
      </c>
      <c r="H290">
        <v>0.14000000000000001</v>
      </c>
      <c r="I290">
        <v>0.08</v>
      </c>
      <c r="J290">
        <v>0.18</v>
      </c>
      <c r="K290">
        <v>59.982999999999997</v>
      </c>
      <c r="L290" s="5" t="s">
        <v>19</v>
      </c>
    </row>
    <row r="291" spans="1:12" x14ac:dyDescent="0.3">
      <c r="A291" s="5" t="s">
        <v>25</v>
      </c>
      <c r="B291" s="6">
        <v>0.79884994212962968</v>
      </c>
      <c r="C291">
        <v>4.57</v>
      </c>
      <c r="D291">
        <v>0.01</v>
      </c>
      <c r="E291">
        <v>6.5</v>
      </c>
      <c r="F291">
        <v>0</v>
      </c>
      <c r="G291">
        <v>0.03</v>
      </c>
      <c r="H291">
        <v>0.14000000000000001</v>
      </c>
      <c r="I291">
        <v>0.08</v>
      </c>
      <c r="J291">
        <v>0.18</v>
      </c>
      <c r="K291">
        <v>59.984000000000002</v>
      </c>
      <c r="L291" s="5" t="s">
        <v>19</v>
      </c>
    </row>
    <row r="292" spans="1:12" x14ac:dyDescent="0.3">
      <c r="A292" s="5" t="s">
        <v>25</v>
      </c>
      <c r="B292" s="6">
        <v>0.79886151620370371</v>
      </c>
      <c r="C292">
        <v>4.58</v>
      </c>
      <c r="D292">
        <v>0.01</v>
      </c>
      <c r="E292">
        <v>6.6</v>
      </c>
      <c r="F292">
        <v>0</v>
      </c>
      <c r="G292">
        <v>0.03</v>
      </c>
      <c r="H292">
        <v>0.14000000000000001</v>
      </c>
      <c r="I292">
        <v>0.08</v>
      </c>
      <c r="J292">
        <v>0.18</v>
      </c>
      <c r="K292">
        <v>59.982999999999997</v>
      </c>
      <c r="L292" s="5" t="s">
        <v>19</v>
      </c>
    </row>
    <row r="293" spans="1:12" x14ac:dyDescent="0.3">
      <c r="A293" s="5" t="s">
        <v>25</v>
      </c>
      <c r="B293" s="6">
        <v>0.79887309027777775</v>
      </c>
      <c r="C293">
        <v>4.58</v>
      </c>
      <c r="D293">
        <v>0.01</v>
      </c>
      <c r="E293">
        <v>6.5</v>
      </c>
      <c r="F293">
        <v>0</v>
      </c>
      <c r="G293">
        <v>0.03</v>
      </c>
      <c r="H293">
        <v>0.14000000000000001</v>
      </c>
      <c r="I293">
        <v>0.08</v>
      </c>
      <c r="J293">
        <v>0.18</v>
      </c>
      <c r="K293">
        <v>59.982999999999997</v>
      </c>
      <c r="L293" s="5" t="s">
        <v>19</v>
      </c>
    </row>
    <row r="294" spans="1:12" x14ac:dyDescent="0.3">
      <c r="A294" s="5" t="s">
        <v>25</v>
      </c>
      <c r="B294" s="6">
        <v>0.7988846643518519</v>
      </c>
      <c r="C294">
        <v>4.59</v>
      </c>
      <c r="D294">
        <v>0.01</v>
      </c>
      <c r="E294">
        <v>6.6</v>
      </c>
      <c r="F294">
        <v>0</v>
      </c>
      <c r="G294">
        <v>0.03</v>
      </c>
      <c r="H294">
        <v>0.14000000000000001</v>
      </c>
      <c r="I294">
        <v>0.08</v>
      </c>
      <c r="J294">
        <v>0.18</v>
      </c>
      <c r="K294">
        <v>59.982999999999997</v>
      </c>
      <c r="L294" s="5" t="s">
        <v>19</v>
      </c>
    </row>
    <row r="295" spans="1:12" x14ac:dyDescent="0.3">
      <c r="A295" s="5" t="s">
        <v>25</v>
      </c>
      <c r="B295" s="6">
        <v>0.79889623842592594</v>
      </c>
      <c r="C295">
        <v>4.5999999999999996</v>
      </c>
      <c r="D295">
        <v>0.01</v>
      </c>
      <c r="E295">
        <v>6.6</v>
      </c>
      <c r="F295">
        <v>0</v>
      </c>
      <c r="G295">
        <v>0.03</v>
      </c>
      <c r="H295">
        <v>0.14000000000000001</v>
      </c>
      <c r="I295">
        <v>0.08</v>
      </c>
      <c r="J295">
        <v>0.18</v>
      </c>
      <c r="K295">
        <v>59.982999999999997</v>
      </c>
      <c r="L295" s="5" t="s">
        <v>19</v>
      </c>
    </row>
    <row r="296" spans="1:12" x14ac:dyDescent="0.3">
      <c r="A296" s="5" t="s">
        <v>25</v>
      </c>
      <c r="B296" s="6">
        <v>0.79890781249999998</v>
      </c>
      <c r="C296">
        <v>4.6100000000000003</v>
      </c>
      <c r="D296">
        <v>0.01</v>
      </c>
      <c r="E296">
        <v>6.6</v>
      </c>
      <c r="F296">
        <v>0</v>
      </c>
      <c r="G296">
        <v>0.03</v>
      </c>
      <c r="H296">
        <v>0.14000000000000001</v>
      </c>
      <c r="I296">
        <v>0.08</v>
      </c>
      <c r="J296">
        <v>0.18</v>
      </c>
      <c r="K296">
        <v>59.982999999999997</v>
      </c>
      <c r="L296" s="5" t="s">
        <v>19</v>
      </c>
    </row>
    <row r="297" spans="1:12" x14ac:dyDescent="0.3">
      <c r="A297" s="5" t="s">
        <v>25</v>
      </c>
      <c r="B297" s="6">
        <v>0.79891938657407402</v>
      </c>
      <c r="C297">
        <v>4.62</v>
      </c>
      <c r="D297">
        <v>0.01</v>
      </c>
      <c r="E297">
        <v>6.6</v>
      </c>
      <c r="F297">
        <v>0</v>
      </c>
      <c r="G297">
        <v>0.03</v>
      </c>
      <c r="H297">
        <v>0.14000000000000001</v>
      </c>
      <c r="I297">
        <v>0.08</v>
      </c>
      <c r="J297">
        <v>0.18</v>
      </c>
      <c r="K297">
        <v>59.982999999999997</v>
      </c>
      <c r="L297" s="5" t="s">
        <v>19</v>
      </c>
    </row>
    <row r="298" spans="1:12" x14ac:dyDescent="0.3">
      <c r="A298" s="5" t="s">
        <v>25</v>
      </c>
      <c r="B298" s="6">
        <v>0.79893096064814817</v>
      </c>
      <c r="C298">
        <v>4.6399999999999997</v>
      </c>
      <c r="D298">
        <v>0.01</v>
      </c>
      <c r="E298">
        <v>6.6</v>
      </c>
      <c r="F298">
        <v>0</v>
      </c>
      <c r="G298">
        <v>0.03</v>
      </c>
      <c r="H298">
        <v>0.14000000000000001</v>
      </c>
      <c r="I298">
        <v>0.08</v>
      </c>
      <c r="J298">
        <v>0.18</v>
      </c>
      <c r="K298">
        <v>59.984000000000002</v>
      </c>
      <c r="L298" s="5" t="s">
        <v>19</v>
      </c>
    </row>
    <row r="299" spans="1:12" x14ac:dyDescent="0.3">
      <c r="A299" s="5" t="s">
        <v>25</v>
      </c>
      <c r="B299" s="6">
        <v>0.79894253472222221</v>
      </c>
      <c r="C299">
        <v>4.62</v>
      </c>
      <c r="D299">
        <v>0.01</v>
      </c>
      <c r="E299">
        <v>6.6</v>
      </c>
      <c r="F299">
        <v>0</v>
      </c>
      <c r="G299">
        <v>0.03</v>
      </c>
      <c r="H299">
        <v>0.14000000000000001</v>
      </c>
      <c r="I299">
        <v>0.08</v>
      </c>
      <c r="J299">
        <v>0.18</v>
      </c>
      <c r="K299">
        <v>59.984000000000002</v>
      </c>
      <c r="L299" s="5" t="s">
        <v>19</v>
      </c>
    </row>
    <row r="300" spans="1:12" x14ac:dyDescent="0.3">
      <c r="A300" s="5" t="s">
        <v>25</v>
      </c>
      <c r="B300" s="6">
        <v>0.79895410879629625</v>
      </c>
      <c r="C300">
        <v>4.5999999999999996</v>
      </c>
      <c r="D300">
        <v>0.01</v>
      </c>
      <c r="E300">
        <v>6.6</v>
      </c>
      <c r="F300">
        <v>0</v>
      </c>
      <c r="G300">
        <v>0.03</v>
      </c>
      <c r="H300">
        <v>0.14000000000000001</v>
      </c>
      <c r="I300">
        <v>0.08</v>
      </c>
      <c r="J300">
        <v>0.18</v>
      </c>
      <c r="K300">
        <v>59.984000000000002</v>
      </c>
      <c r="L300" s="5" t="s">
        <v>19</v>
      </c>
    </row>
    <row r="301" spans="1:12" x14ac:dyDescent="0.3">
      <c r="A301" s="5" t="s">
        <v>25</v>
      </c>
      <c r="B301" s="6">
        <v>0.7989656828703704</v>
      </c>
      <c r="C301">
        <v>4.59</v>
      </c>
      <c r="D301">
        <v>0.01</v>
      </c>
      <c r="E301">
        <v>6.6</v>
      </c>
      <c r="F301">
        <v>0</v>
      </c>
      <c r="G301">
        <v>0.03</v>
      </c>
      <c r="H301">
        <v>0.14000000000000001</v>
      </c>
      <c r="I301">
        <v>0.08</v>
      </c>
      <c r="J301">
        <v>0.18</v>
      </c>
      <c r="K301">
        <v>59.984000000000002</v>
      </c>
      <c r="L301" s="5" t="s">
        <v>19</v>
      </c>
    </row>
    <row r="302" spans="1:12" x14ac:dyDescent="0.3">
      <c r="A302" s="5" t="s">
        <v>25</v>
      </c>
      <c r="B302" s="6">
        <v>0.79897725694444444</v>
      </c>
      <c r="C302">
        <v>4.59</v>
      </c>
      <c r="D302">
        <v>0.01</v>
      </c>
      <c r="E302">
        <v>6.6</v>
      </c>
      <c r="F302">
        <v>0</v>
      </c>
      <c r="G302">
        <v>0.03</v>
      </c>
      <c r="H302">
        <v>0.14000000000000001</v>
      </c>
      <c r="I302">
        <v>0.08</v>
      </c>
      <c r="J302">
        <v>0.18</v>
      </c>
      <c r="K302">
        <v>59.984000000000002</v>
      </c>
      <c r="L302" s="5" t="s">
        <v>19</v>
      </c>
    </row>
    <row r="303" spans="1:12" x14ac:dyDescent="0.3">
      <c r="A303" s="5" t="s">
        <v>25</v>
      </c>
      <c r="B303" s="6">
        <v>0.79898883101851847</v>
      </c>
      <c r="C303">
        <v>4.58</v>
      </c>
      <c r="D303">
        <v>0.01</v>
      </c>
      <c r="E303">
        <v>6.5</v>
      </c>
      <c r="F303">
        <v>0</v>
      </c>
      <c r="G303">
        <v>0.03</v>
      </c>
      <c r="H303">
        <v>0.14000000000000001</v>
      </c>
      <c r="I303">
        <v>0.08</v>
      </c>
      <c r="J303">
        <v>0.18</v>
      </c>
      <c r="K303">
        <v>59.984000000000002</v>
      </c>
      <c r="L303" s="5" t="s">
        <v>19</v>
      </c>
    </row>
    <row r="304" spans="1:12" x14ac:dyDescent="0.3">
      <c r="A304" s="5" t="s">
        <v>25</v>
      </c>
      <c r="B304" s="6">
        <v>0.79900040509259262</v>
      </c>
      <c r="C304">
        <v>4.5999999999999996</v>
      </c>
      <c r="D304">
        <v>0.01</v>
      </c>
      <c r="E304">
        <v>6.6</v>
      </c>
      <c r="F304">
        <v>0</v>
      </c>
      <c r="G304">
        <v>0.03</v>
      </c>
      <c r="H304">
        <v>0.14000000000000001</v>
      </c>
      <c r="I304">
        <v>0.08</v>
      </c>
      <c r="J304">
        <v>0.18</v>
      </c>
      <c r="K304">
        <v>59.984000000000002</v>
      </c>
      <c r="L304" s="5" t="s">
        <v>19</v>
      </c>
    </row>
    <row r="305" spans="1:12" x14ac:dyDescent="0.3">
      <c r="A305" s="5" t="s">
        <v>25</v>
      </c>
      <c r="B305" s="6">
        <v>0.79901197916666666</v>
      </c>
      <c r="C305">
        <v>4.5999999999999996</v>
      </c>
      <c r="D305">
        <v>0.01</v>
      </c>
      <c r="E305">
        <v>6.6</v>
      </c>
      <c r="F305">
        <v>0</v>
      </c>
      <c r="G305">
        <v>0.03</v>
      </c>
      <c r="H305">
        <v>0.14000000000000001</v>
      </c>
      <c r="I305">
        <v>0.08</v>
      </c>
      <c r="J305">
        <v>0.18</v>
      </c>
      <c r="K305">
        <v>59.984000000000002</v>
      </c>
      <c r="L305" s="5" t="s">
        <v>19</v>
      </c>
    </row>
    <row r="306" spans="1:12" x14ac:dyDescent="0.3">
      <c r="A306" s="5" t="s">
        <v>25</v>
      </c>
      <c r="B306" s="6">
        <v>0.7990235532407407</v>
      </c>
      <c r="C306">
        <v>4.5199999999999996</v>
      </c>
      <c r="D306">
        <v>0.01</v>
      </c>
      <c r="E306">
        <v>6.5</v>
      </c>
      <c r="F306">
        <v>0</v>
      </c>
      <c r="G306">
        <v>0.03</v>
      </c>
      <c r="H306">
        <v>0.14000000000000001</v>
      </c>
      <c r="I306">
        <v>0.08</v>
      </c>
      <c r="J306">
        <v>0.18</v>
      </c>
      <c r="K306">
        <v>59.984000000000002</v>
      </c>
      <c r="L306" s="5" t="s">
        <v>19</v>
      </c>
    </row>
    <row r="307" spans="1:12" x14ac:dyDescent="0.3">
      <c r="A307" s="5" t="s">
        <v>25</v>
      </c>
      <c r="B307" s="6">
        <v>0.79903512731481485</v>
      </c>
      <c r="C307">
        <v>4.5199999999999996</v>
      </c>
      <c r="D307">
        <v>0.01</v>
      </c>
      <c r="E307">
        <v>6.5</v>
      </c>
      <c r="F307">
        <v>0</v>
      </c>
      <c r="G307">
        <v>0.03</v>
      </c>
      <c r="H307">
        <v>0.14000000000000001</v>
      </c>
      <c r="I307">
        <v>0.08</v>
      </c>
      <c r="J307">
        <v>0.18</v>
      </c>
      <c r="K307">
        <v>59.982999999999997</v>
      </c>
      <c r="L307" s="5" t="s">
        <v>19</v>
      </c>
    </row>
    <row r="308" spans="1:12" x14ac:dyDescent="0.3">
      <c r="A308" s="5" t="s">
        <v>25</v>
      </c>
      <c r="B308" s="6">
        <v>0.79904670138888889</v>
      </c>
      <c r="C308">
        <v>4.53</v>
      </c>
      <c r="D308">
        <v>0.01</v>
      </c>
      <c r="E308">
        <v>6.5</v>
      </c>
      <c r="F308">
        <v>0</v>
      </c>
      <c r="G308">
        <v>0.03</v>
      </c>
      <c r="H308">
        <v>0.14000000000000001</v>
      </c>
      <c r="I308">
        <v>0.08</v>
      </c>
      <c r="J308">
        <v>0.18</v>
      </c>
      <c r="K308">
        <v>59.982999999999997</v>
      </c>
      <c r="L308" s="5" t="s">
        <v>19</v>
      </c>
    </row>
    <row r="309" spans="1:12" x14ac:dyDescent="0.3">
      <c r="A309" s="5" t="s">
        <v>25</v>
      </c>
      <c r="B309" s="6">
        <v>0.79905827546296293</v>
      </c>
      <c r="C309">
        <v>4.54</v>
      </c>
      <c r="D309">
        <v>0.01</v>
      </c>
      <c r="E309">
        <v>6.5</v>
      </c>
      <c r="F309">
        <v>0</v>
      </c>
      <c r="G309">
        <v>0.03</v>
      </c>
      <c r="H309">
        <v>0.14000000000000001</v>
      </c>
      <c r="I309">
        <v>0.08</v>
      </c>
      <c r="J309">
        <v>0.18</v>
      </c>
      <c r="K309">
        <v>59.982999999999997</v>
      </c>
      <c r="L309" s="5" t="s">
        <v>19</v>
      </c>
    </row>
    <row r="310" spans="1:12" x14ac:dyDescent="0.3">
      <c r="A310" s="5" t="s">
        <v>25</v>
      </c>
      <c r="B310" s="6">
        <v>0.79906984953703708</v>
      </c>
      <c r="C310">
        <v>4.54</v>
      </c>
      <c r="D310">
        <v>0.01</v>
      </c>
      <c r="E310">
        <v>6.5</v>
      </c>
      <c r="F310">
        <v>0</v>
      </c>
      <c r="G310">
        <v>0.03</v>
      </c>
      <c r="H310">
        <v>0.14000000000000001</v>
      </c>
      <c r="I310">
        <v>0.08</v>
      </c>
      <c r="J310">
        <v>0.18</v>
      </c>
      <c r="K310">
        <v>59.981999999999999</v>
      </c>
      <c r="L310" s="5" t="s">
        <v>19</v>
      </c>
    </row>
    <row r="311" spans="1:12" x14ac:dyDescent="0.3">
      <c r="A311" s="5" t="s">
        <v>25</v>
      </c>
      <c r="B311" s="6">
        <v>0.79908142361111112</v>
      </c>
      <c r="C311">
        <v>4.54</v>
      </c>
      <c r="D311">
        <v>0.01</v>
      </c>
      <c r="E311">
        <v>6.5</v>
      </c>
      <c r="F311">
        <v>0</v>
      </c>
      <c r="G311">
        <v>0.03</v>
      </c>
      <c r="H311">
        <v>0.14000000000000001</v>
      </c>
      <c r="I311">
        <v>0.08</v>
      </c>
      <c r="J311">
        <v>0.18</v>
      </c>
      <c r="K311">
        <v>59.981999999999999</v>
      </c>
      <c r="L311" s="5" t="s">
        <v>19</v>
      </c>
    </row>
    <row r="312" spans="1:12" x14ac:dyDescent="0.3">
      <c r="A312" s="5" t="s">
        <v>25</v>
      </c>
      <c r="B312" s="6">
        <v>0.79909299768518516</v>
      </c>
      <c r="C312">
        <v>4.49</v>
      </c>
      <c r="D312">
        <v>0.01</v>
      </c>
      <c r="E312">
        <v>6.4</v>
      </c>
      <c r="F312">
        <v>0</v>
      </c>
      <c r="G312">
        <v>0.03</v>
      </c>
      <c r="H312">
        <v>0.14000000000000001</v>
      </c>
      <c r="I312">
        <v>0.08</v>
      </c>
      <c r="J312">
        <v>0.18</v>
      </c>
      <c r="K312">
        <v>59.981999999999999</v>
      </c>
      <c r="L312" s="5" t="s">
        <v>19</v>
      </c>
    </row>
    <row r="313" spans="1:12" x14ac:dyDescent="0.3">
      <c r="A313" s="5" t="s">
        <v>25</v>
      </c>
      <c r="B313" s="6">
        <v>0.79910457175925931</v>
      </c>
      <c r="C313">
        <v>4.51</v>
      </c>
      <c r="D313">
        <v>0.01</v>
      </c>
      <c r="E313">
        <v>6.5</v>
      </c>
      <c r="F313">
        <v>0</v>
      </c>
      <c r="G313">
        <v>0.03</v>
      </c>
      <c r="H313">
        <v>0.14000000000000001</v>
      </c>
      <c r="I313">
        <v>0.08</v>
      </c>
      <c r="J313">
        <v>0.18</v>
      </c>
      <c r="K313">
        <v>59.981999999999999</v>
      </c>
      <c r="L313" s="5" t="s">
        <v>19</v>
      </c>
    </row>
    <row r="314" spans="1:12" x14ac:dyDescent="0.3">
      <c r="A314" s="5" t="s">
        <v>25</v>
      </c>
      <c r="B314" s="6">
        <v>0.79911614583333335</v>
      </c>
      <c r="C314">
        <v>4.62</v>
      </c>
      <c r="D314">
        <v>0.01</v>
      </c>
      <c r="E314">
        <v>6.8</v>
      </c>
      <c r="F314">
        <v>0</v>
      </c>
      <c r="G314">
        <v>0.03</v>
      </c>
      <c r="H314">
        <v>0.14000000000000001</v>
      </c>
      <c r="I314">
        <v>0.08</v>
      </c>
      <c r="J314">
        <v>0.18</v>
      </c>
      <c r="K314">
        <v>59.981000000000002</v>
      </c>
      <c r="L314" s="5" t="s">
        <v>19</v>
      </c>
    </row>
    <row r="315" spans="1:12" x14ac:dyDescent="0.3">
      <c r="A315" s="5" t="s">
        <v>25</v>
      </c>
      <c r="B315" s="6">
        <v>0.79912771990740739</v>
      </c>
      <c r="C315">
        <v>4.7</v>
      </c>
      <c r="D315">
        <v>0.01</v>
      </c>
      <c r="E315">
        <v>7.4</v>
      </c>
      <c r="F315">
        <v>0</v>
      </c>
      <c r="G315">
        <v>0.03</v>
      </c>
      <c r="H315">
        <v>0.14000000000000001</v>
      </c>
      <c r="I315">
        <v>0.08</v>
      </c>
      <c r="J315">
        <v>0.18</v>
      </c>
      <c r="K315">
        <v>59.981999999999999</v>
      </c>
      <c r="L315" s="5" t="s">
        <v>19</v>
      </c>
    </row>
    <row r="316" spans="1:12" x14ac:dyDescent="0.3">
      <c r="A316" s="5" t="s">
        <v>25</v>
      </c>
      <c r="B316" s="6">
        <v>0.79913929398148154</v>
      </c>
      <c r="C316">
        <v>4.1399999999999997</v>
      </c>
      <c r="D316">
        <v>0.01</v>
      </c>
      <c r="E316">
        <v>6.6</v>
      </c>
      <c r="F316">
        <v>0</v>
      </c>
      <c r="G316">
        <v>0.03</v>
      </c>
      <c r="H316">
        <v>0.14000000000000001</v>
      </c>
      <c r="I316">
        <v>0.08</v>
      </c>
      <c r="J316">
        <v>0.18</v>
      </c>
      <c r="K316">
        <v>59.982999999999997</v>
      </c>
      <c r="L316" s="5" t="s">
        <v>19</v>
      </c>
    </row>
    <row r="317" spans="1:12" x14ac:dyDescent="0.3">
      <c r="A317" s="5" t="s">
        <v>25</v>
      </c>
      <c r="B317" s="6">
        <v>0.79915086805555557</v>
      </c>
      <c r="C317">
        <v>4.5</v>
      </c>
      <c r="D317">
        <v>0.01</v>
      </c>
      <c r="E317">
        <v>7.1</v>
      </c>
      <c r="F317">
        <v>0</v>
      </c>
      <c r="G317">
        <v>0.03</v>
      </c>
      <c r="H317">
        <v>0.14000000000000001</v>
      </c>
      <c r="I317">
        <v>0.08</v>
      </c>
      <c r="J317">
        <v>0.18</v>
      </c>
      <c r="K317">
        <v>59.982999999999997</v>
      </c>
      <c r="L317" s="5" t="s">
        <v>19</v>
      </c>
    </row>
    <row r="318" spans="1:12" x14ac:dyDescent="0.3">
      <c r="A318" s="5" t="s">
        <v>25</v>
      </c>
      <c r="B318" s="6">
        <v>0.79916244212962961</v>
      </c>
      <c r="C318">
        <v>4.2699999999999996</v>
      </c>
      <c r="D318">
        <v>0.01</v>
      </c>
      <c r="E318">
        <v>6.8</v>
      </c>
      <c r="F318">
        <v>0</v>
      </c>
      <c r="G318">
        <v>0.03</v>
      </c>
      <c r="H318">
        <v>0.14000000000000001</v>
      </c>
      <c r="I318">
        <v>0.08</v>
      </c>
      <c r="J318">
        <v>0.18</v>
      </c>
      <c r="K318">
        <v>59.984000000000002</v>
      </c>
      <c r="L318" s="5" t="s">
        <v>19</v>
      </c>
    </row>
    <row r="319" spans="1:12" x14ac:dyDescent="0.3">
      <c r="A319" s="5" t="s">
        <v>25</v>
      </c>
      <c r="B319" s="6">
        <v>0.79917401620370365</v>
      </c>
      <c r="C319">
        <v>4.3499999999999996</v>
      </c>
      <c r="D319">
        <v>0.01</v>
      </c>
      <c r="E319">
        <v>6.9</v>
      </c>
      <c r="F319">
        <v>0</v>
      </c>
      <c r="G319">
        <v>0.03</v>
      </c>
      <c r="H319">
        <v>0.14000000000000001</v>
      </c>
      <c r="I319">
        <v>0.08</v>
      </c>
      <c r="J319">
        <v>0.18</v>
      </c>
      <c r="K319">
        <v>59.984000000000002</v>
      </c>
      <c r="L319" s="5" t="s">
        <v>19</v>
      </c>
    </row>
    <row r="320" spans="1:12" x14ac:dyDescent="0.3">
      <c r="A320" s="5" t="s">
        <v>25</v>
      </c>
      <c r="B320" s="6">
        <v>0.7991855902777778</v>
      </c>
      <c r="C320">
        <v>4.43</v>
      </c>
      <c r="D320">
        <v>0.01</v>
      </c>
      <c r="E320">
        <v>7.1</v>
      </c>
      <c r="F320">
        <v>0</v>
      </c>
      <c r="G320">
        <v>0.03</v>
      </c>
      <c r="H320">
        <v>0.14000000000000001</v>
      </c>
      <c r="I320">
        <v>0.08</v>
      </c>
      <c r="J320">
        <v>0.18</v>
      </c>
      <c r="K320">
        <v>59.984000000000002</v>
      </c>
      <c r="L320" s="5" t="s">
        <v>19</v>
      </c>
    </row>
    <row r="321" spans="1:12" x14ac:dyDescent="0.3">
      <c r="A321" s="5" t="s">
        <v>25</v>
      </c>
      <c r="B321" s="6">
        <v>0.79919716435185184</v>
      </c>
      <c r="C321">
        <v>4.1100000000000003</v>
      </c>
      <c r="D321">
        <v>0.01</v>
      </c>
      <c r="E321">
        <v>6.6</v>
      </c>
      <c r="F321">
        <v>0</v>
      </c>
      <c r="G321">
        <v>0.03</v>
      </c>
      <c r="H321">
        <v>0.14000000000000001</v>
      </c>
      <c r="I321">
        <v>0.08</v>
      </c>
      <c r="J321">
        <v>0.18</v>
      </c>
      <c r="K321">
        <v>59.984999999999999</v>
      </c>
      <c r="L321" s="5" t="s">
        <v>19</v>
      </c>
    </row>
    <row r="322" spans="1:12" x14ac:dyDescent="0.3">
      <c r="A322" s="5" t="s">
        <v>25</v>
      </c>
      <c r="B322" s="6">
        <v>0.79920873842592588</v>
      </c>
      <c r="C322">
        <v>4.58</v>
      </c>
      <c r="D322">
        <v>0.01</v>
      </c>
      <c r="E322">
        <v>7.2</v>
      </c>
      <c r="F322">
        <v>0</v>
      </c>
      <c r="G322">
        <v>0.03</v>
      </c>
      <c r="H322">
        <v>0.14000000000000001</v>
      </c>
      <c r="I322">
        <v>0.08</v>
      </c>
      <c r="J322">
        <v>0.18</v>
      </c>
      <c r="K322">
        <v>59.984999999999999</v>
      </c>
      <c r="L322" s="5" t="s">
        <v>19</v>
      </c>
    </row>
    <row r="323" spans="1:12" x14ac:dyDescent="0.3">
      <c r="A323" s="5" t="s">
        <v>25</v>
      </c>
      <c r="B323" s="6">
        <v>0.79922031250000003</v>
      </c>
      <c r="C323">
        <v>3.97</v>
      </c>
      <c r="D323">
        <v>0.01</v>
      </c>
      <c r="E323">
        <v>6.5</v>
      </c>
      <c r="F323">
        <v>0</v>
      </c>
      <c r="G323">
        <v>0.03</v>
      </c>
      <c r="H323">
        <v>0.14000000000000001</v>
      </c>
      <c r="I323">
        <v>0.08</v>
      </c>
      <c r="J323">
        <v>0.18</v>
      </c>
      <c r="K323">
        <v>59.985999999999997</v>
      </c>
      <c r="L323" s="5" t="s">
        <v>19</v>
      </c>
    </row>
    <row r="324" spans="1:12" x14ac:dyDescent="0.3">
      <c r="A324" s="5" t="s">
        <v>25</v>
      </c>
      <c r="B324" s="6">
        <v>0.79923188657407407</v>
      </c>
      <c r="C324">
        <v>4.67</v>
      </c>
      <c r="D324">
        <v>0.01</v>
      </c>
      <c r="E324">
        <v>7.4</v>
      </c>
      <c r="F324">
        <v>0</v>
      </c>
      <c r="G324">
        <v>0.03</v>
      </c>
      <c r="H324">
        <v>0.14000000000000001</v>
      </c>
      <c r="I324">
        <v>0.08</v>
      </c>
      <c r="J324">
        <v>0.18</v>
      </c>
      <c r="K324">
        <v>59.984999999999999</v>
      </c>
      <c r="L324" s="5" t="s">
        <v>19</v>
      </c>
    </row>
    <row r="325" spans="1:12" x14ac:dyDescent="0.3">
      <c r="A325" s="5" t="s">
        <v>25</v>
      </c>
      <c r="B325" s="6">
        <v>0.79924346064814811</v>
      </c>
      <c r="C325">
        <v>4</v>
      </c>
      <c r="D325">
        <v>0.01</v>
      </c>
      <c r="E325">
        <v>6.4</v>
      </c>
      <c r="F325">
        <v>0</v>
      </c>
      <c r="G325">
        <v>0.03</v>
      </c>
      <c r="H325">
        <v>0.14000000000000001</v>
      </c>
      <c r="I325">
        <v>0.08</v>
      </c>
      <c r="J325">
        <v>0.18</v>
      </c>
      <c r="K325">
        <v>59.985999999999997</v>
      </c>
      <c r="L325" s="5" t="s">
        <v>19</v>
      </c>
    </row>
    <row r="326" spans="1:12" x14ac:dyDescent="0.3">
      <c r="A326" s="5" t="s">
        <v>25</v>
      </c>
      <c r="B326" s="6">
        <v>0.79925503472222226</v>
      </c>
      <c r="C326">
        <v>4.3499999999999996</v>
      </c>
      <c r="D326">
        <v>0.01</v>
      </c>
      <c r="E326">
        <v>7</v>
      </c>
      <c r="F326">
        <v>0</v>
      </c>
      <c r="G326">
        <v>0.03</v>
      </c>
      <c r="H326">
        <v>0.14000000000000001</v>
      </c>
      <c r="I326">
        <v>0.08</v>
      </c>
      <c r="J326">
        <v>0.18</v>
      </c>
      <c r="K326">
        <v>59.984000000000002</v>
      </c>
      <c r="L326" s="5" t="s">
        <v>19</v>
      </c>
    </row>
    <row r="327" spans="1:12" x14ac:dyDescent="0.3">
      <c r="A327" s="5" t="s">
        <v>25</v>
      </c>
      <c r="B327" s="6">
        <v>0.7992666087962963</v>
      </c>
      <c r="C327">
        <v>4.37</v>
      </c>
      <c r="D327">
        <v>0.01</v>
      </c>
      <c r="E327">
        <v>7</v>
      </c>
      <c r="F327">
        <v>0</v>
      </c>
      <c r="G327">
        <v>0.03</v>
      </c>
      <c r="H327">
        <v>0.14000000000000001</v>
      </c>
      <c r="I327">
        <v>0.08</v>
      </c>
      <c r="J327">
        <v>0.18</v>
      </c>
      <c r="K327">
        <v>59.984000000000002</v>
      </c>
      <c r="L327" s="5" t="s">
        <v>19</v>
      </c>
    </row>
    <row r="328" spans="1:12" x14ac:dyDescent="0.3">
      <c r="A328" s="5" t="s">
        <v>25</v>
      </c>
      <c r="B328" s="6">
        <v>0.79927818287037034</v>
      </c>
      <c r="C328">
        <v>4.01</v>
      </c>
      <c r="D328">
        <v>0.01</v>
      </c>
      <c r="E328">
        <v>6.5</v>
      </c>
      <c r="F328">
        <v>0</v>
      </c>
      <c r="G328">
        <v>0.03</v>
      </c>
      <c r="H328">
        <v>0.14000000000000001</v>
      </c>
      <c r="I328">
        <v>0.08</v>
      </c>
      <c r="J328">
        <v>0.18</v>
      </c>
      <c r="K328">
        <v>59.984000000000002</v>
      </c>
      <c r="L328" s="5" t="s">
        <v>19</v>
      </c>
    </row>
    <row r="329" spans="1:12" x14ac:dyDescent="0.3">
      <c r="A329" s="5" t="s">
        <v>25</v>
      </c>
      <c r="B329" s="6">
        <v>0.79928975694444448</v>
      </c>
      <c r="C329">
        <v>4.67</v>
      </c>
      <c r="D329">
        <v>0.01</v>
      </c>
      <c r="E329">
        <v>7.4</v>
      </c>
      <c r="F329">
        <v>0</v>
      </c>
      <c r="G329">
        <v>0.03</v>
      </c>
      <c r="H329">
        <v>0.14000000000000001</v>
      </c>
      <c r="I329">
        <v>0.08</v>
      </c>
      <c r="J329">
        <v>0.18</v>
      </c>
      <c r="K329">
        <v>59.982999999999997</v>
      </c>
      <c r="L329" s="5" t="s">
        <v>19</v>
      </c>
    </row>
    <row r="330" spans="1:12" x14ac:dyDescent="0.3">
      <c r="A330" s="5" t="s">
        <v>25</v>
      </c>
      <c r="B330" s="6">
        <v>0.79930133101851852</v>
      </c>
      <c r="C330">
        <v>4.03</v>
      </c>
      <c r="D330">
        <v>0.01</v>
      </c>
      <c r="E330">
        <v>6.6</v>
      </c>
      <c r="F330">
        <v>0</v>
      </c>
      <c r="G330">
        <v>0.03</v>
      </c>
      <c r="H330">
        <v>0.14000000000000001</v>
      </c>
      <c r="I330">
        <v>0.08</v>
      </c>
      <c r="J330">
        <v>0.18</v>
      </c>
      <c r="K330">
        <v>59.984000000000002</v>
      </c>
      <c r="L330" s="5" t="s">
        <v>19</v>
      </c>
    </row>
    <row r="331" spans="1:12" x14ac:dyDescent="0.3">
      <c r="A331" s="5" t="s">
        <v>25</v>
      </c>
      <c r="B331" s="6">
        <v>0.79931290509259256</v>
      </c>
      <c r="C331">
        <v>4.3499999999999996</v>
      </c>
      <c r="D331">
        <v>0.01</v>
      </c>
      <c r="E331">
        <v>6.9</v>
      </c>
      <c r="F331">
        <v>0</v>
      </c>
      <c r="G331">
        <v>0.03</v>
      </c>
      <c r="H331">
        <v>0.14000000000000001</v>
      </c>
      <c r="I331">
        <v>0.08</v>
      </c>
      <c r="J331">
        <v>0.18</v>
      </c>
      <c r="K331">
        <v>59.982999999999997</v>
      </c>
      <c r="L331" s="5" t="s">
        <v>19</v>
      </c>
    </row>
    <row r="332" spans="1:12" x14ac:dyDescent="0.3">
      <c r="A332" s="5" t="s">
        <v>25</v>
      </c>
      <c r="B332" s="6">
        <v>0.79932447916666671</v>
      </c>
      <c r="C332">
        <v>4.0999999999999996</v>
      </c>
      <c r="D332">
        <v>0.01</v>
      </c>
      <c r="E332">
        <v>6.5</v>
      </c>
      <c r="F332">
        <v>0</v>
      </c>
      <c r="G332">
        <v>0.03</v>
      </c>
      <c r="H332">
        <v>0.14000000000000001</v>
      </c>
      <c r="I332">
        <v>0.08</v>
      </c>
      <c r="J332">
        <v>0.18</v>
      </c>
      <c r="K332">
        <v>59.982999999999997</v>
      </c>
      <c r="L332" s="5" t="s">
        <v>19</v>
      </c>
    </row>
    <row r="333" spans="1:12" x14ac:dyDescent="0.3">
      <c r="A333" s="5" t="s">
        <v>25</v>
      </c>
      <c r="B333" s="6">
        <v>0.79933605324074075</v>
      </c>
      <c r="C333">
        <v>4.75</v>
      </c>
      <c r="D333">
        <v>0.01</v>
      </c>
      <c r="E333">
        <v>7.5</v>
      </c>
      <c r="F333">
        <v>0</v>
      </c>
      <c r="G333">
        <v>0.03</v>
      </c>
      <c r="H333">
        <v>0.14000000000000001</v>
      </c>
      <c r="I333">
        <v>0.08</v>
      </c>
      <c r="J333">
        <v>0.18</v>
      </c>
      <c r="K333">
        <v>59.981999999999999</v>
      </c>
      <c r="L333" s="5" t="s">
        <v>19</v>
      </c>
    </row>
    <row r="334" spans="1:12" x14ac:dyDescent="0.3">
      <c r="A334" s="5" t="s">
        <v>25</v>
      </c>
      <c r="B334" s="6">
        <v>0.79934762731481479</v>
      </c>
      <c r="C334">
        <v>5.0199999999999996</v>
      </c>
      <c r="D334">
        <v>0.01</v>
      </c>
      <c r="E334">
        <v>7.8</v>
      </c>
      <c r="F334">
        <v>0</v>
      </c>
      <c r="G334">
        <v>0.03</v>
      </c>
      <c r="H334">
        <v>0.14000000000000001</v>
      </c>
      <c r="I334">
        <v>0.08</v>
      </c>
      <c r="J334">
        <v>0.18</v>
      </c>
      <c r="K334">
        <v>59.981999999999999</v>
      </c>
      <c r="L334" s="5" t="s">
        <v>19</v>
      </c>
    </row>
    <row r="335" spans="1:12" x14ac:dyDescent="0.3">
      <c r="A335" s="5" t="s">
        <v>25</v>
      </c>
      <c r="B335" s="6">
        <v>0.79935920138888894</v>
      </c>
      <c r="C335">
        <v>4.62</v>
      </c>
      <c r="D335">
        <v>0.01</v>
      </c>
      <c r="E335">
        <v>7.4</v>
      </c>
      <c r="F335">
        <v>0</v>
      </c>
      <c r="G335">
        <v>0.03</v>
      </c>
      <c r="H335">
        <v>0.14000000000000001</v>
      </c>
      <c r="I335">
        <v>0.08</v>
      </c>
      <c r="J335">
        <v>0.18</v>
      </c>
      <c r="K335">
        <v>59.981999999999999</v>
      </c>
      <c r="L335" s="5" t="s">
        <v>19</v>
      </c>
    </row>
    <row r="336" spans="1:12" x14ac:dyDescent="0.3">
      <c r="A336" s="5" t="s">
        <v>25</v>
      </c>
      <c r="B336" s="6">
        <v>0.79937077546296298</v>
      </c>
      <c r="C336">
        <v>4.9400000000000004</v>
      </c>
      <c r="D336">
        <v>0.01</v>
      </c>
      <c r="E336">
        <v>7.7</v>
      </c>
      <c r="F336">
        <v>0</v>
      </c>
      <c r="G336">
        <v>0.03</v>
      </c>
      <c r="H336">
        <v>0.14000000000000001</v>
      </c>
      <c r="I336">
        <v>0.08</v>
      </c>
      <c r="J336">
        <v>0.18</v>
      </c>
      <c r="K336">
        <v>59.981999999999999</v>
      </c>
      <c r="L336" s="5" t="s">
        <v>19</v>
      </c>
    </row>
    <row r="337" spans="1:12" x14ac:dyDescent="0.3">
      <c r="A337" s="5" t="s">
        <v>25</v>
      </c>
      <c r="B337" s="6">
        <v>0.79938234953703702</v>
      </c>
      <c r="C337">
        <v>4.6100000000000003</v>
      </c>
      <c r="D337">
        <v>0.01</v>
      </c>
      <c r="E337">
        <v>7.3</v>
      </c>
      <c r="F337">
        <v>0</v>
      </c>
      <c r="G337">
        <v>0.03</v>
      </c>
      <c r="H337">
        <v>0.14000000000000001</v>
      </c>
      <c r="I337">
        <v>0.08</v>
      </c>
      <c r="J337">
        <v>0.18</v>
      </c>
      <c r="K337">
        <v>59.982999999999997</v>
      </c>
      <c r="L337" s="5" t="s">
        <v>19</v>
      </c>
    </row>
    <row r="338" spans="1:12" x14ac:dyDescent="0.3">
      <c r="A338" s="5" t="s">
        <v>25</v>
      </c>
      <c r="B338" s="6">
        <v>0.79939392361111106</v>
      </c>
      <c r="C338">
        <v>4.83</v>
      </c>
      <c r="D338">
        <v>0.01</v>
      </c>
      <c r="E338">
        <v>7.6</v>
      </c>
      <c r="F338">
        <v>0</v>
      </c>
      <c r="G338">
        <v>0.03</v>
      </c>
      <c r="H338">
        <v>0.14000000000000001</v>
      </c>
      <c r="I338">
        <v>0.08</v>
      </c>
      <c r="J338">
        <v>0.18</v>
      </c>
      <c r="K338">
        <v>59.981999999999999</v>
      </c>
      <c r="L338" s="5" t="s">
        <v>19</v>
      </c>
    </row>
    <row r="339" spans="1:12" x14ac:dyDescent="0.3">
      <c r="A339" s="5" t="s">
        <v>25</v>
      </c>
      <c r="B339" s="6">
        <v>0.79940549768518521</v>
      </c>
      <c r="C339">
        <v>4.78</v>
      </c>
      <c r="D339">
        <v>0.01</v>
      </c>
      <c r="E339">
        <v>7.4</v>
      </c>
      <c r="F339">
        <v>0</v>
      </c>
      <c r="G339">
        <v>0.03</v>
      </c>
      <c r="H339">
        <v>0.14000000000000001</v>
      </c>
      <c r="I339">
        <v>0.08</v>
      </c>
      <c r="J339">
        <v>0.18</v>
      </c>
      <c r="K339">
        <v>59.984000000000002</v>
      </c>
      <c r="L339" s="5" t="s">
        <v>19</v>
      </c>
    </row>
    <row r="340" spans="1:12" x14ac:dyDescent="0.3">
      <c r="A340" s="5" t="s">
        <v>25</v>
      </c>
      <c r="B340" s="6">
        <v>0.79941707175925925</v>
      </c>
      <c r="C340">
        <v>4.75</v>
      </c>
      <c r="D340">
        <v>0.01</v>
      </c>
      <c r="E340">
        <v>7.5</v>
      </c>
      <c r="F340">
        <v>0</v>
      </c>
      <c r="G340">
        <v>0.03</v>
      </c>
      <c r="H340">
        <v>0.14000000000000001</v>
      </c>
      <c r="I340">
        <v>0.08</v>
      </c>
      <c r="J340">
        <v>0.18</v>
      </c>
      <c r="K340">
        <v>59.984000000000002</v>
      </c>
      <c r="L340" s="5" t="s">
        <v>19</v>
      </c>
    </row>
    <row r="341" spans="1:12" x14ac:dyDescent="0.3">
      <c r="A341" s="5" t="s">
        <v>25</v>
      </c>
      <c r="B341" s="6">
        <v>0.79942864583333328</v>
      </c>
      <c r="C341">
        <v>4.95</v>
      </c>
      <c r="D341">
        <v>0.01</v>
      </c>
      <c r="E341">
        <v>7.7</v>
      </c>
      <c r="F341">
        <v>0</v>
      </c>
      <c r="G341">
        <v>0.03</v>
      </c>
      <c r="H341">
        <v>0.14000000000000001</v>
      </c>
      <c r="I341">
        <v>0.08</v>
      </c>
      <c r="J341">
        <v>0.18</v>
      </c>
      <c r="K341">
        <v>59.984999999999999</v>
      </c>
      <c r="L341" s="5" t="s">
        <v>19</v>
      </c>
    </row>
    <row r="342" spans="1:12" x14ac:dyDescent="0.3">
      <c r="A342" s="5" t="s">
        <v>25</v>
      </c>
      <c r="B342" s="6">
        <v>0.79944021990740743</v>
      </c>
      <c r="C342">
        <v>4.6500000000000004</v>
      </c>
      <c r="D342">
        <v>0.01</v>
      </c>
      <c r="E342">
        <v>7.4</v>
      </c>
      <c r="F342">
        <v>0</v>
      </c>
      <c r="G342">
        <v>0.03</v>
      </c>
      <c r="H342">
        <v>0.14000000000000001</v>
      </c>
      <c r="I342">
        <v>0.08</v>
      </c>
      <c r="J342">
        <v>0.18</v>
      </c>
      <c r="K342">
        <v>59.985999999999997</v>
      </c>
      <c r="L342" s="5" t="s">
        <v>19</v>
      </c>
    </row>
    <row r="343" spans="1:12" x14ac:dyDescent="0.3">
      <c r="A343" s="5" t="s">
        <v>25</v>
      </c>
      <c r="B343" s="6">
        <v>0.79945179398148147</v>
      </c>
      <c r="C343">
        <v>5.03</v>
      </c>
      <c r="D343">
        <v>0.01</v>
      </c>
      <c r="E343">
        <v>7.9</v>
      </c>
      <c r="F343">
        <v>0</v>
      </c>
      <c r="G343">
        <v>0.03</v>
      </c>
      <c r="H343">
        <v>0.14000000000000001</v>
      </c>
      <c r="I343">
        <v>0.08</v>
      </c>
      <c r="J343">
        <v>0.18</v>
      </c>
      <c r="K343">
        <v>59.987000000000002</v>
      </c>
      <c r="L343" s="5" t="s">
        <v>19</v>
      </c>
    </row>
    <row r="344" spans="1:12" x14ac:dyDescent="0.3">
      <c r="A344" s="5" t="s">
        <v>25</v>
      </c>
      <c r="B344" s="6">
        <v>0.79946336805555551</v>
      </c>
      <c r="C344">
        <v>4.67</v>
      </c>
      <c r="D344">
        <v>0.01</v>
      </c>
      <c r="E344">
        <v>7.3</v>
      </c>
      <c r="F344">
        <v>0</v>
      </c>
      <c r="G344">
        <v>0.03</v>
      </c>
      <c r="H344">
        <v>0.14000000000000001</v>
      </c>
      <c r="I344">
        <v>0.08</v>
      </c>
      <c r="J344">
        <v>0.18</v>
      </c>
      <c r="K344">
        <v>59.99</v>
      </c>
      <c r="L344" s="5" t="s">
        <v>19</v>
      </c>
    </row>
    <row r="345" spans="1:12" x14ac:dyDescent="0.3">
      <c r="A345" s="5" t="s">
        <v>25</v>
      </c>
      <c r="B345" s="6">
        <v>0.79947494212962966</v>
      </c>
      <c r="C345">
        <v>4.8499999999999996</v>
      </c>
      <c r="D345">
        <v>0.01</v>
      </c>
      <c r="E345">
        <v>7.7</v>
      </c>
      <c r="F345">
        <v>0</v>
      </c>
      <c r="G345">
        <v>0.03</v>
      </c>
      <c r="H345">
        <v>0.14000000000000001</v>
      </c>
      <c r="I345">
        <v>0.08</v>
      </c>
      <c r="J345">
        <v>0.18</v>
      </c>
      <c r="K345">
        <v>59.988999999999997</v>
      </c>
      <c r="L345" s="5" t="s">
        <v>19</v>
      </c>
    </row>
    <row r="346" spans="1:12" x14ac:dyDescent="0.3">
      <c r="A346" s="5" t="s">
        <v>25</v>
      </c>
      <c r="B346" s="6">
        <v>0.7994865162037037</v>
      </c>
      <c r="C346">
        <v>4.8600000000000003</v>
      </c>
      <c r="D346">
        <v>0.01</v>
      </c>
      <c r="E346">
        <v>7.6</v>
      </c>
      <c r="F346">
        <v>0</v>
      </c>
      <c r="G346">
        <v>0.03</v>
      </c>
      <c r="H346">
        <v>0.14000000000000001</v>
      </c>
      <c r="I346">
        <v>0.08</v>
      </c>
      <c r="J346">
        <v>0.18</v>
      </c>
      <c r="K346">
        <v>59.99</v>
      </c>
      <c r="L346" s="5" t="s">
        <v>19</v>
      </c>
    </row>
    <row r="347" spans="1:12" x14ac:dyDescent="0.3">
      <c r="A347" s="5" t="s">
        <v>25</v>
      </c>
      <c r="B347" s="6">
        <v>0.79949809027777774</v>
      </c>
      <c r="C347">
        <v>4.71</v>
      </c>
      <c r="D347">
        <v>0.01</v>
      </c>
      <c r="E347">
        <v>7.6</v>
      </c>
      <c r="F347">
        <v>0</v>
      </c>
      <c r="G347">
        <v>0.03</v>
      </c>
      <c r="H347">
        <v>0.14000000000000001</v>
      </c>
      <c r="I347">
        <v>0.08</v>
      </c>
      <c r="J347">
        <v>0.18</v>
      </c>
      <c r="K347">
        <v>59.99</v>
      </c>
      <c r="L347" s="5" t="s">
        <v>19</v>
      </c>
    </row>
    <row r="348" spans="1:12" x14ac:dyDescent="0.3">
      <c r="A348" s="5" t="s">
        <v>25</v>
      </c>
      <c r="B348" s="6">
        <v>0.79950966435185189</v>
      </c>
      <c r="C348">
        <v>4.9800000000000004</v>
      </c>
      <c r="D348">
        <v>0.01</v>
      </c>
      <c r="E348">
        <v>7.7</v>
      </c>
      <c r="F348">
        <v>0</v>
      </c>
      <c r="G348">
        <v>0.03</v>
      </c>
      <c r="H348">
        <v>0.14000000000000001</v>
      </c>
      <c r="I348">
        <v>0.08</v>
      </c>
      <c r="J348">
        <v>0.18</v>
      </c>
      <c r="K348">
        <v>59.99</v>
      </c>
      <c r="L348" s="5" t="s">
        <v>19</v>
      </c>
    </row>
    <row r="349" spans="1:12" x14ac:dyDescent="0.3">
      <c r="A349" s="5" t="s">
        <v>25</v>
      </c>
      <c r="B349" s="6">
        <v>0.79952123842592593</v>
      </c>
      <c r="C349">
        <v>4.67</v>
      </c>
      <c r="D349">
        <v>0.01</v>
      </c>
      <c r="E349">
        <v>7.4</v>
      </c>
      <c r="F349">
        <v>0</v>
      </c>
      <c r="G349">
        <v>0.03</v>
      </c>
      <c r="H349">
        <v>0.14000000000000001</v>
      </c>
      <c r="I349">
        <v>0.08</v>
      </c>
      <c r="J349">
        <v>0.18</v>
      </c>
      <c r="K349">
        <v>59.991</v>
      </c>
      <c r="L349" s="5" t="s">
        <v>19</v>
      </c>
    </row>
    <row r="350" spans="1:12" x14ac:dyDescent="0.3">
      <c r="A350" s="5" t="s">
        <v>25</v>
      </c>
      <c r="B350" s="6">
        <v>0.79953281249999997</v>
      </c>
      <c r="C350">
        <v>4.95</v>
      </c>
      <c r="D350">
        <v>0.01</v>
      </c>
      <c r="E350">
        <v>7.7</v>
      </c>
      <c r="F350">
        <v>0</v>
      </c>
      <c r="G350">
        <v>0.03</v>
      </c>
      <c r="H350">
        <v>0.14000000000000001</v>
      </c>
      <c r="I350">
        <v>0.08</v>
      </c>
      <c r="J350">
        <v>0.18</v>
      </c>
      <c r="K350">
        <v>59.99</v>
      </c>
      <c r="L350" s="5" t="s">
        <v>19</v>
      </c>
    </row>
    <row r="351" spans="1:12" x14ac:dyDescent="0.3">
      <c r="A351" s="5" t="s">
        <v>25</v>
      </c>
      <c r="B351" s="6">
        <v>0.79954438657407412</v>
      </c>
      <c r="C351">
        <v>4.7300000000000004</v>
      </c>
      <c r="D351">
        <v>0.01</v>
      </c>
      <c r="E351">
        <v>7.4</v>
      </c>
      <c r="F351">
        <v>0</v>
      </c>
      <c r="G351">
        <v>0.03</v>
      </c>
      <c r="H351">
        <v>0.14000000000000001</v>
      </c>
      <c r="I351">
        <v>0.08</v>
      </c>
      <c r="J351">
        <v>0.18</v>
      </c>
      <c r="K351">
        <v>59.991</v>
      </c>
      <c r="L351" s="5" t="s">
        <v>19</v>
      </c>
    </row>
    <row r="352" spans="1:12" x14ac:dyDescent="0.3">
      <c r="A352" s="5" t="s">
        <v>25</v>
      </c>
      <c r="B352" s="6">
        <v>0.79955596064814816</v>
      </c>
      <c r="C352">
        <v>4.8099999999999996</v>
      </c>
      <c r="D352">
        <v>0.01</v>
      </c>
      <c r="E352">
        <v>7.6</v>
      </c>
      <c r="F352">
        <v>0</v>
      </c>
      <c r="G352">
        <v>0.03</v>
      </c>
      <c r="H352">
        <v>0.14000000000000001</v>
      </c>
      <c r="I352">
        <v>0.08</v>
      </c>
      <c r="J352">
        <v>0.18</v>
      </c>
      <c r="K352">
        <v>59.99</v>
      </c>
      <c r="L352" s="5" t="s">
        <v>19</v>
      </c>
    </row>
    <row r="353" spans="1:12" x14ac:dyDescent="0.3">
      <c r="A353" s="5" t="s">
        <v>25</v>
      </c>
      <c r="B353" s="6">
        <v>0.7995675347222222</v>
      </c>
      <c r="C353">
        <v>4.9400000000000004</v>
      </c>
      <c r="D353">
        <v>0.01</v>
      </c>
      <c r="E353">
        <v>7.7</v>
      </c>
      <c r="F353">
        <v>0</v>
      </c>
      <c r="G353">
        <v>0.03</v>
      </c>
      <c r="H353">
        <v>0.14000000000000001</v>
      </c>
      <c r="I353">
        <v>0.08</v>
      </c>
      <c r="J353">
        <v>0.18</v>
      </c>
      <c r="K353">
        <v>59.991</v>
      </c>
      <c r="L353" s="5" t="s">
        <v>19</v>
      </c>
    </row>
    <row r="354" spans="1:12" x14ac:dyDescent="0.3">
      <c r="A354" s="5" t="s">
        <v>25</v>
      </c>
      <c r="B354" s="6">
        <v>0.79957910879629635</v>
      </c>
      <c r="C354">
        <v>4.71</v>
      </c>
      <c r="D354">
        <v>0.01</v>
      </c>
      <c r="E354">
        <v>7.5</v>
      </c>
      <c r="F354">
        <v>0</v>
      </c>
      <c r="G354">
        <v>0.03</v>
      </c>
      <c r="H354">
        <v>0.14000000000000001</v>
      </c>
      <c r="I354">
        <v>0.08</v>
      </c>
      <c r="J354">
        <v>0.18</v>
      </c>
      <c r="K354">
        <v>59.99</v>
      </c>
      <c r="L354" s="5" t="s">
        <v>19</v>
      </c>
    </row>
    <row r="355" spans="1:12" x14ac:dyDescent="0.3">
      <c r="A355" s="5" t="s">
        <v>25</v>
      </c>
      <c r="B355" s="6">
        <v>0.79959068287037038</v>
      </c>
      <c r="C355">
        <v>5.0999999999999996</v>
      </c>
      <c r="D355">
        <v>0.01</v>
      </c>
      <c r="E355">
        <v>7.9</v>
      </c>
      <c r="F355">
        <v>0</v>
      </c>
      <c r="G355">
        <v>0.03</v>
      </c>
      <c r="H355">
        <v>0.14000000000000001</v>
      </c>
      <c r="I355">
        <v>0.08</v>
      </c>
      <c r="J355">
        <v>0.18</v>
      </c>
      <c r="K355">
        <v>59.99</v>
      </c>
      <c r="L355" s="5" t="s">
        <v>19</v>
      </c>
    </row>
    <row r="356" spans="1:12" x14ac:dyDescent="0.3">
      <c r="A356" s="5" t="s">
        <v>25</v>
      </c>
      <c r="B356" s="6">
        <v>0.79960225694444442</v>
      </c>
      <c r="C356">
        <v>4.6500000000000004</v>
      </c>
      <c r="D356">
        <v>0.01</v>
      </c>
      <c r="E356">
        <v>7.3</v>
      </c>
      <c r="F356">
        <v>0</v>
      </c>
      <c r="G356">
        <v>0.03</v>
      </c>
      <c r="H356">
        <v>0.14000000000000001</v>
      </c>
      <c r="I356">
        <v>0.08</v>
      </c>
      <c r="J356">
        <v>0.18</v>
      </c>
      <c r="K356">
        <v>59.991</v>
      </c>
      <c r="L356" s="5" t="s">
        <v>19</v>
      </c>
    </row>
    <row r="357" spans="1:12" x14ac:dyDescent="0.3">
      <c r="A357" s="5" t="s">
        <v>25</v>
      </c>
      <c r="B357" s="6">
        <v>0.79961383101851857</v>
      </c>
      <c r="C357">
        <v>4.97</v>
      </c>
      <c r="D357">
        <v>0.01</v>
      </c>
      <c r="E357">
        <v>7.8</v>
      </c>
      <c r="F357">
        <v>0</v>
      </c>
      <c r="G357">
        <v>0.03</v>
      </c>
      <c r="H357">
        <v>0.14000000000000001</v>
      </c>
      <c r="I357">
        <v>0.08</v>
      </c>
      <c r="J357">
        <v>0.18</v>
      </c>
      <c r="K357">
        <v>59.991</v>
      </c>
      <c r="L357" s="5" t="s">
        <v>19</v>
      </c>
    </row>
    <row r="358" spans="1:12" x14ac:dyDescent="0.3">
      <c r="A358" s="5" t="s">
        <v>25</v>
      </c>
      <c r="B358" s="6">
        <v>0.79962540509259261</v>
      </c>
      <c r="C358">
        <v>4.7699999999999996</v>
      </c>
      <c r="D358">
        <v>0.01</v>
      </c>
      <c r="E358">
        <v>7.5</v>
      </c>
      <c r="F358">
        <v>0</v>
      </c>
      <c r="G358">
        <v>0.03</v>
      </c>
      <c r="H358">
        <v>0.14000000000000001</v>
      </c>
      <c r="I358">
        <v>0.08</v>
      </c>
      <c r="J358">
        <v>0.18</v>
      </c>
      <c r="K358">
        <v>59.991999999999997</v>
      </c>
      <c r="L358" s="5" t="s">
        <v>19</v>
      </c>
    </row>
    <row r="359" spans="1:12" x14ac:dyDescent="0.3">
      <c r="A359" s="5" t="s">
        <v>25</v>
      </c>
      <c r="B359" s="6">
        <v>0.79963697916666665</v>
      </c>
      <c r="C359">
        <v>4.8</v>
      </c>
      <c r="D359">
        <v>0.01</v>
      </c>
      <c r="E359">
        <v>7.5</v>
      </c>
      <c r="F359">
        <v>0</v>
      </c>
      <c r="G359">
        <v>0.03</v>
      </c>
      <c r="H359">
        <v>0.14000000000000001</v>
      </c>
      <c r="I359">
        <v>0.08</v>
      </c>
      <c r="J359">
        <v>0.18</v>
      </c>
      <c r="K359">
        <v>59.991999999999997</v>
      </c>
      <c r="L359" s="5" t="s">
        <v>19</v>
      </c>
    </row>
    <row r="360" spans="1:12" x14ac:dyDescent="0.3">
      <c r="A360" s="5" t="s">
        <v>25</v>
      </c>
      <c r="B360" s="6">
        <v>0.79964855324074069</v>
      </c>
      <c r="C360">
        <v>4.9400000000000004</v>
      </c>
      <c r="D360">
        <v>0.01</v>
      </c>
      <c r="E360">
        <v>7.7</v>
      </c>
      <c r="F360">
        <v>0</v>
      </c>
      <c r="G360">
        <v>0.03</v>
      </c>
      <c r="H360">
        <v>0.14000000000000001</v>
      </c>
      <c r="I360">
        <v>0.08</v>
      </c>
      <c r="J360">
        <v>0.18</v>
      </c>
      <c r="K360">
        <v>59.993000000000002</v>
      </c>
      <c r="L360" s="5" t="s">
        <v>19</v>
      </c>
    </row>
    <row r="361" spans="1:12" x14ac:dyDescent="0.3">
      <c r="A361" s="5" t="s">
        <v>25</v>
      </c>
      <c r="B361" s="6">
        <v>0.79966012731481484</v>
      </c>
      <c r="C361">
        <v>4.7300000000000004</v>
      </c>
      <c r="D361">
        <v>0.01</v>
      </c>
      <c r="E361">
        <v>7.5</v>
      </c>
      <c r="F361">
        <v>0</v>
      </c>
      <c r="G361">
        <v>0.03</v>
      </c>
      <c r="H361">
        <v>0.14000000000000001</v>
      </c>
      <c r="I361">
        <v>0.08</v>
      </c>
      <c r="J361">
        <v>0.18</v>
      </c>
      <c r="K361">
        <v>59.993000000000002</v>
      </c>
      <c r="L361" s="5" t="s">
        <v>19</v>
      </c>
    </row>
    <row r="362" spans="1:12" x14ac:dyDescent="0.3">
      <c r="A362" s="5" t="s">
        <v>25</v>
      </c>
      <c r="B362" s="6">
        <v>0.79967170138888888</v>
      </c>
      <c r="C362">
        <v>5.07</v>
      </c>
      <c r="D362">
        <v>0.01</v>
      </c>
      <c r="E362">
        <v>7.9</v>
      </c>
      <c r="F362">
        <v>0</v>
      </c>
      <c r="G362">
        <v>0.03</v>
      </c>
      <c r="H362">
        <v>0.14000000000000001</v>
      </c>
      <c r="I362">
        <v>0.08</v>
      </c>
      <c r="J362">
        <v>0.18</v>
      </c>
      <c r="K362">
        <v>59.994</v>
      </c>
      <c r="L362" s="5" t="s">
        <v>19</v>
      </c>
    </row>
    <row r="363" spans="1:12" x14ac:dyDescent="0.3">
      <c r="A363" s="5" t="s">
        <v>25</v>
      </c>
      <c r="B363" s="6">
        <v>0.79968327546296292</v>
      </c>
      <c r="C363">
        <v>4.6500000000000004</v>
      </c>
      <c r="D363">
        <v>0.01</v>
      </c>
      <c r="E363">
        <v>7.3</v>
      </c>
      <c r="F363">
        <v>0</v>
      </c>
      <c r="G363">
        <v>0.03</v>
      </c>
      <c r="H363">
        <v>0.14000000000000001</v>
      </c>
      <c r="I363">
        <v>0.08</v>
      </c>
      <c r="J363">
        <v>0.18</v>
      </c>
      <c r="K363">
        <v>59.994999999999997</v>
      </c>
      <c r="L363" s="5" t="s">
        <v>19</v>
      </c>
    </row>
    <row r="364" spans="1:12" x14ac:dyDescent="0.3">
      <c r="A364" s="5" t="s">
        <v>25</v>
      </c>
      <c r="B364" s="6">
        <v>0.79969484953703707</v>
      </c>
      <c r="C364">
        <v>4.95</v>
      </c>
      <c r="D364">
        <v>0.01</v>
      </c>
      <c r="E364">
        <v>7.8</v>
      </c>
      <c r="F364">
        <v>0</v>
      </c>
      <c r="G364">
        <v>0.03</v>
      </c>
      <c r="H364">
        <v>0.14000000000000001</v>
      </c>
      <c r="I364">
        <v>0.08</v>
      </c>
      <c r="J364">
        <v>0.18</v>
      </c>
      <c r="K364">
        <v>59.994</v>
      </c>
      <c r="L364" s="5" t="s">
        <v>19</v>
      </c>
    </row>
    <row r="365" spans="1:12" x14ac:dyDescent="0.3">
      <c r="A365" s="5" t="s">
        <v>25</v>
      </c>
      <c r="B365" s="6">
        <v>0.79970642361111111</v>
      </c>
      <c r="C365">
        <v>4.8099999999999996</v>
      </c>
      <c r="D365">
        <v>0.01</v>
      </c>
      <c r="E365">
        <v>7.5</v>
      </c>
      <c r="F365">
        <v>0</v>
      </c>
      <c r="G365">
        <v>0.03</v>
      </c>
      <c r="H365">
        <v>0.14000000000000001</v>
      </c>
      <c r="I365">
        <v>0.08</v>
      </c>
      <c r="J365">
        <v>0.18</v>
      </c>
      <c r="K365">
        <v>59.996000000000002</v>
      </c>
      <c r="L365" s="5" t="s">
        <v>19</v>
      </c>
    </row>
    <row r="366" spans="1:12" x14ac:dyDescent="0.3">
      <c r="A366" s="5" t="s">
        <v>25</v>
      </c>
      <c r="B366" s="6">
        <v>0.79971799768518514</v>
      </c>
      <c r="C366">
        <v>4.8099999999999996</v>
      </c>
      <c r="D366">
        <v>0.01</v>
      </c>
      <c r="E366">
        <v>7.6</v>
      </c>
      <c r="F366">
        <v>0</v>
      </c>
      <c r="G366">
        <v>0.03</v>
      </c>
      <c r="H366">
        <v>0.14000000000000001</v>
      </c>
      <c r="I366">
        <v>0.08</v>
      </c>
      <c r="J366">
        <v>0.18</v>
      </c>
      <c r="K366">
        <v>59.996000000000002</v>
      </c>
      <c r="L366" s="5" t="s">
        <v>19</v>
      </c>
    </row>
    <row r="367" spans="1:12" x14ac:dyDescent="0.3">
      <c r="A367" s="5" t="s">
        <v>25</v>
      </c>
      <c r="B367" s="6">
        <v>0.79972957175925929</v>
      </c>
      <c r="C367">
        <v>5.05</v>
      </c>
      <c r="D367">
        <v>0.01</v>
      </c>
      <c r="E367">
        <v>7.8</v>
      </c>
      <c r="F367">
        <v>0</v>
      </c>
      <c r="G367">
        <v>0.03</v>
      </c>
      <c r="H367">
        <v>0.14000000000000001</v>
      </c>
      <c r="I367">
        <v>0.08</v>
      </c>
      <c r="J367">
        <v>0.18</v>
      </c>
      <c r="K367">
        <v>59.996000000000002</v>
      </c>
      <c r="L367" s="5" t="s">
        <v>19</v>
      </c>
    </row>
    <row r="368" spans="1:12" x14ac:dyDescent="0.3">
      <c r="A368" s="5" t="s">
        <v>25</v>
      </c>
      <c r="B368" s="6">
        <v>0.79974114583333333</v>
      </c>
      <c r="C368">
        <v>4.6500000000000004</v>
      </c>
      <c r="D368">
        <v>0.01</v>
      </c>
      <c r="E368">
        <v>7.4</v>
      </c>
      <c r="F368">
        <v>0</v>
      </c>
      <c r="G368">
        <v>0.03</v>
      </c>
      <c r="H368">
        <v>0.14000000000000001</v>
      </c>
      <c r="I368">
        <v>0.08</v>
      </c>
      <c r="J368">
        <v>0.18</v>
      </c>
      <c r="K368">
        <v>59.997999999999998</v>
      </c>
      <c r="L368" s="5" t="s">
        <v>19</v>
      </c>
    </row>
    <row r="369" spans="1:12" x14ac:dyDescent="0.3">
      <c r="A369" s="5" t="s">
        <v>25</v>
      </c>
      <c r="B369" s="6">
        <v>0.79975271990740737</v>
      </c>
      <c r="C369">
        <v>5</v>
      </c>
      <c r="D369">
        <v>0.01</v>
      </c>
      <c r="E369">
        <v>7.8</v>
      </c>
      <c r="F369">
        <v>0</v>
      </c>
      <c r="G369">
        <v>0.03</v>
      </c>
      <c r="H369">
        <v>0.14000000000000001</v>
      </c>
      <c r="I369">
        <v>0.08</v>
      </c>
      <c r="J369">
        <v>0.18</v>
      </c>
      <c r="K369">
        <v>59.997</v>
      </c>
      <c r="L369" s="5" t="s">
        <v>19</v>
      </c>
    </row>
    <row r="370" spans="1:12" x14ac:dyDescent="0.3">
      <c r="A370" s="5" t="s">
        <v>25</v>
      </c>
      <c r="B370" s="6">
        <v>0.79976429398148152</v>
      </c>
      <c r="C370">
        <v>4.6900000000000004</v>
      </c>
      <c r="D370">
        <v>0.01</v>
      </c>
      <c r="E370">
        <v>7.4</v>
      </c>
      <c r="F370">
        <v>0</v>
      </c>
      <c r="G370">
        <v>0.03</v>
      </c>
      <c r="H370">
        <v>0.14000000000000001</v>
      </c>
      <c r="I370">
        <v>0.08</v>
      </c>
      <c r="J370">
        <v>0.18</v>
      </c>
      <c r="K370">
        <v>59.999000000000002</v>
      </c>
      <c r="L370" s="5" t="s">
        <v>19</v>
      </c>
    </row>
    <row r="371" spans="1:12" x14ac:dyDescent="0.3">
      <c r="A371" s="5" t="s">
        <v>25</v>
      </c>
      <c r="B371" s="6">
        <v>0.79977586805555556</v>
      </c>
      <c r="C371">
        <v>4.87</v>
      </c>
      <c r="D371">
        <v>0.01</v>
      </c>
      <c r="E371">
        <v>7.7</v>
      </c>
      <c r="F371">
        <v>0</v>
      </c>
      <c r="G371">
        <v>0.03</v>
      </c>
      <c r="H371">
        <v>0.14000000000000001</v>
      </c>
      <c r="I371">
        <v>0.08</v>
      </c>
      <c r="J371">
        <v>0.18</v>
      </c>
      <c r="K371">
        <v>59.997999999999998</v>
      </c>
      <c r="L371" s="5" t="s">
        <v>19</v>
      </c>
    </row>
    <row r="372" spans="1:12" x14ac:dyDescent="0.3">
      <c r="A372" s="5" t="s">
        <v>25</v>
      </c>
      <c r="B372" s="6">
        <v>0.7997874421296296</v>
      </c>
      <c r="C372">
        <v>4.82</v>
      </c>
      <c r="D372">
        <v>0.01</v>
      </c>
      <c r="E372">
        <v>7.6</v>
      </c>
      <c r="F372">
        <v>0</v>
      </c>
      <c r="G372">
        <v>0.03</v>
      </c>
      <c r="H372">
        <v>0.14000000000000001</v>
      </c>
      <c r="I372">
        <v>0.08</v>
      </c>
      <c r="J372">
        <v>0.18</v>
      </c>
      <c r="K372">
        <v>59.999000000000002</v>
      </c>
      <c r="L372" s="5" t="s">
        <v>19</v>
      </c>
    </row>
    <row r="373" spans="1:12" x14ac:dyDescent="0.3">
      <c r="A373" s="5" t="s">
        <v>25</v>
      </c>
      <c r="B373" s="6">
        <v>0.79979901620370375</v>
      </c>
      <c r="C373">
        <v>4.5999999999999996</v>
      </c>
      <c r="D373">
        <v>0.01</v>
      </c>
      <c r="E373">
        <v>6.6</v>
      </c>
      <c r="F373">
        <v>0</v>
      </c>
      <c r="G373">
        <v>0.03</v>
      </c>
      <c r="H373">
        <v>0.14000000000000001</v>
      </c>
      <c r="I373">
        <v>0.08</v>
      </c>
      <c r="J373">
        <v>0.18</v>
      </c>
      <c r="K373">
        <v>59.997999999999998</v>
      </c>
      <c r="L373" s="5" t="s">
        <v>19</v>
      </c>
    </row>
    <row r="374" spans="1:12" x14ac:dyDescent="0.3">
      <c r="A374" s="5" t="s">
        <v>25</v>
      </c>
      <c r="B374" s="6">
        <v>0.79981059027777779</v>
      </c>
      <c r="C374">
        <v>4.59</v>
      </c>
      <c r="D374">
        <v>0.01</v>
      </c>
      <c r="E374">
        <v>6.6</v>
      </c>
      <c r="F374">
        <v>0</v>
      </c>
      <c r="G374">
        <v>0.03</v>
      </c>
      <c r="H374">
        <v>0.14000000000000001</v>
      </c>
      <c r="I374">
        <v>0.08</v>
      </c>
      <c r="J374">
        <v>0.18</v>
      </c>
      <c r="K374">
        <v>60</v>
      </c>
      <c r="L374" s="5" t="s">
        <v>19</v>
      </c>
    </row>
    <row r="375" spans="1:12" x14ac:dyDescent="0.3">
      <c r="A375" s="5" t="s">
        <v>25</v>
      </c>
      <c r="B375" s="6">
        <v>0.79982216435185183</v>
      </c>
      <c r="C375">
        <v>4.57</v>
      </c>
      <c r="D375">
        <v>0.01</v>
      </c>
      <c r="E375">
        <v>6.5</v>
      </c>
      <c r="F375">
        <v>0</v>
      </c>
      <c r="G375">
        <v>0.03</v>
      </c>
      <c r="H375">
        <v>0.14000000000000001</v>
      </c>
      <c r="I375">
        <v>0.08</v>
      </c>
      <c r="J375">
        <v>0.18</v>
      </c>
      <c r="K375">
        <v>60</v>
      </c>
      <c r="L375" s="5" t="s">
        <v>19</v>
      </c>
    </row>
    <row r="376" spans="1:12" x14ac:dyDescent="0.3">
      <c r="A376" s="5" t="s">
        <v>25</v>
      </c>
      <c r="B376" s="6">
        <v>0.79983373842592598</v>
      </c>
      <c r="C376">
        <v>4.04</v>
      </c>
      <c r="D376">
        <v>0.01</v>
      </c>
      <c r="E376">
        <v>5.9</v>
      </c>
      <c r="F376">
        <v>0</v>
      </c>
      <c r="G376">
        <v>0.03</v>
      </c>
      <c r="H376">
        <v>0.14000000000000001</v>
      </c>
      <c r="I376">
        <v>0.08</v>
      </c>
      <c r="J376">
        <v>0.18</v>
      </c>
      <c r="K376">
        <v>60</v>
      </c>
      <c r="L376" s="5" t="s">
        <v>19</v>
      </c>
    </row>
    <row r="377" spans="1:12" x14ac:dyDescent="0.3">
      <c r="A377" s="5" t="s">
        <v>25</v>
      </c>
      <c r="B377" s="6">
        <v>0.79984531250000002</v>
      </c>
      <c r="C377">
        <v>3.44</v>
      </c>
      <c r="D377">
        <v>0.01</v>
      </c>
      <c r="E377">
        <v>5.0999999999999996</v>
      </c>
      <c r="F377">
        <v>0</v>
      </c>
      <c r="G377">
        <v>0.03</v>
      </c>
      <c r="H377">
        <v>0.14000000000000001</v>
      </c>
      <c r="I377">
        <v>0.08</v>
      </c>
      <c r="J377">
        <v>0.18</v>
      </c>
      <c r="K377">
        <v>60.000999999999998</v>
      </c>
      <c r="L377" s="5" t="s">
        <v>19</v>
      </c>
    </row>
    <row r="378" spans="1:12" x14ac:dyDescent="0.3">
      <c r="A378" s="5" t="s">
        <v>25</v>
      </c>
      <c r="B378" s="6">
        <v>0.79985688657407406</v>
      </c>
      <c r="C378">
        <v>1.6</v>
      </c>
      <c r="D378">
        <v>0.01</v>
      </c>
      <c r="E378">
        <v>2.2000000000000002</v>
      </c>
      <c r="F378">
        <v>0</v>
      </c>
      <c r="G378">
        <v>0.03</v>
      </c>
      <c r="H378">
        <v>0.14000000000000001</v>
      </c>
      <c r="I378">
        <v>0.08</v>
      </c>
      <c r="J378">
        <v>0.18</v>
      </c>
      <c r="K378">
        <v>60.000999999999998</v>
      </c>
      <c r="L378" s="5" t="s">
        <v>19</v>
      </c>
    </row>
    <row r="379" spans="1:12" x14ac:dyDescent="0.3">
      <c r="A379" s="5" t="s">
        <v>25</v>
      </c>
      <c r="B379" s="6">
        <v>0.79986846064814809</v>
      </c>
      <c r="C379">
        <v>0.06</v>
      </c>
      <c r="D379">
        <v>0.01</v>
      </c>
      <c r="E379">
        <v>0.1</v>
      </c>
      <c r="F379">
        <v>0</v>
      </c>
      <c r="G379">
        <v>0.03</v>
      </c>
      <c r="H379">
        <v>0.14000000000000001</v>
      </c>
      <c r="I379">
        <v>0.08</v>
      </c>
      <c r="J379">
        <v>0.18</v>
      </c>
      <c r="K379">
        <v>60</v>
      </c>
      <c r="L379" s="5" t="s">
        <v>19</v>
      </c>
    </row>
    <row r="380" spans="1:12" x14ac:dyDescent="0.3">
      <c r="A380" s="5" t="s">
        <v>25</v>
      </c>
      <c r="B380" s="6">
        <v>0.79988003472222224</v>
      </c>
      <c r="C380">
        <v>0.06</v>
      </c>
      <c r="D380">
        <v>0.01</v>
      </c>
      <c r="E380">
        <v>0.1</v>
      </c>
      <c r="F380">
        <v>0</v>
      </c>
      <c r="G380">
        <v>0.03</v>
      </c>
      <c r="H380">
        <v>0.14000000000000001</v>
      </c>
      <c r="I380">
        <v>0.08</v>
      </c>
      <c r="J380">
        <v>0.18</v>
      </c>
      <c r="K380">
        <v>60</v>
      </c>
      <c r="L380" s="5" t="s">
        <v>19</v>
      </c>
    </row>
    <row r="381" spans="1:12" x14ac:dyDescent="0.3">
      <c r="A381" s="5" t="s">
        <v>25</v>
      </c>
      <c r="B381" s="6">
        <v>0.79989160879629628</v>
      </c>
      <c r="C381">
        <v>0.06</v>
      </c>
      <c r="D381">
        <v>0.01</v>
      </c>
      <c r="E381">
        <v>0.1</v>
      </c>
      <c r="F381">
        <v>0</v>
      </c>
      <c r="G381">
        <v>0.03</v>
      </c>
      <c r="H381">
        <v>0.14000000000000001</v>
      </c>
      <c r="I381">
        <v>0.08</v>
      </c>
      <c r="J381">
        <v>0.18</v>
      </c>
      <c r="K381">
        <v>60</v>
      </c>
      <c r="L381" s="5" t="s">
        <v>19</v>
      </c>
    </row>
    <row r="382" spans="1:12" x14ac:dyDescent="0.3">
      <c r="A382" s="5" t="s">
        <v>25</v>
      </c>
      <c r="B382" s="6">
        <v>0.79990318287037032</v>
      </c>
      <c r="C382">
        <v>0.06</v>
      </c>
      <c r="D382">
        <v>0.01</v>
      </c>
      <c r="E382">
        <v>0.1</v>
      </c>
      <c r="F382">
        <v>0</v>
      </c>
      <c r="G382">
        <v>0.03</v>
      </c>
      <c r="H382">
        <v>0.14000000000000001</v>
      </c>
      <c r="I382">
        <v>0.08</v>
      </c>
      <c r="J382">
        <v>0.18</v>
      </c>
      <c r="K382">
        <v>60</v>
      </c>
      <c r="L382" s="5" t="s">
        <v>19</v>
      </c>
    </row>
    <row r="383" spans="1:12" x14ac:dyDescent="0.3">
      <c r="A383" s="5" t="s">
        <v>25</v>
      </c>
      <c r="B383" s="6">
        <v>0.79991475694444447</v>
      </c>
      <c r="C383">
        <v>0.06</v>
      </c>
      <c r="D383">
        <v>0.01</v>
      </c>
      <c r="E383">
        <v>0.1</v>
      </c>
      <c r="F383">
        <v>0</v>
      </c>
      <c r="G383">
        <v>0.03</v>
      </c>
      <c r="H383">
        <v>0.14000000000000001</v>
      </c>
      <c r="I383">
        <v>0.08</v>
      </c>
      <c r="J383">
        <v>0.18</v>
      </c>
      <c r="K383">
        <v>60</v>
      </c>
      <c r="L383" s="5" t="s">
        <v>19</v>
      </c>
    </row>
    <row r="384" spans="1:12" x14ac:dyDescent="0.3">
      <c r="A384" s="5" t="s">
        <v>25</v>
      </c>
      <c r="B384" s="6">
        <v>0.79992633101851851</v>
      </c>
      <c r="C384">
        <v>0.06</v>
      </c>
      <c r="D384">
        <v>0.01</v>
      </c>
      <c r="E384">
        <v>0.1</v>
      </c>
      <c r="F384">
        <v>0</v>
      </c>
      <c r="G384">
        <v>0.03</v>
      </c>
      <c r="H384">
        <v>0.14000000000000001</v>
      </c>
      <c r="I384">
        <v>0.08</v>
      </c>
      <c r="J384">
        <v>0.18</v>
      </c>
      <c r="K384">
        <v>60</v>
      </c>
      <c r="L384" s="5" t="s">
        <v>19</v>
      </c>
    </row>
    <row r="385" spans="1:12" x14ac:dyDescent="0.3">
      <c r="A385" s="5" t="s">
        <v>25</v>
      </c>
      <c r="B385" s="6">
        <v>0.79993790509259255</v>
      </c>
      <c r="C385">
        <v>0.06</v>
      </c>
      <c r="D385">
        <v>0.01</v>
      </c>
      <c r="E385">
        <v>0.1</v>
      </c>
      <c r="F385">
        <v>0</v>
      </c>
      <c r="G385">
        <v>0.03</v>
      </c>
      <c r="H385">
        <v>0.14000000000000001</v>
      </c>
      <c r="I385">
        <v>0.08</v>
      </c>
      <c r="J385">
        <v>0.18</v>
      </c>
      <c r="K385">
        <v>60</v>
      </c>
      <c r="L385" s="5" t="s">
        <v>19</v>
      </c>
    </row>
    <row r="386" spans="1:12" x14ac:dyDescent="0.3">
      <c r="A386" s="5" t="s">
        <v>25</v>
      </c>
      <c r="B386" s="6">
        <v>0.7999494791666667</v>
      </c>
      <c r="C386">
        <v>0.06</v>
      </c>
      <c r="D386">
        <v>0.01</v>
      </c>
      <c r="E386">
        <v>0.1</v>
      </c>
      <c r="F386">
        <v>0</v>
      </c>
      <c r="G386">
        <v>0.03</v>
      </c>
      <c r="H386">
        <v>0.14000000000000001</v>
      </c>
      <c r="I386">
        <v>0.08</v>
      </c>
      <c r="J386">
        <v>0.18</v>
      </c>
      <c r="K386">
        <v>60</v>
      </c>
      <c r="L386" s="5" t="s">
        <v>19</v>
      </c>
    </row>
    <row r="387" spans="1:12" x14ac:dyDescent="0.3">
      <c r="A387" s="5" t="s">
        <v>25</v>
      </c>
      <c r="B387" s="6">
        <v>0.79996105324074074</v>
      </c>
      <c r="C387">
        <v>0.06</v>
      </c>
      <c r="D387">
        <v>0.01</v>
      </c>
      <c r="E387">
        <v>0.1</v>
      </c>
      <c r="F387">
        <v>0</v>
      </c>
      <c r="G387">
        <v>0.03</v>
      </c>
      <c r="H387">
        <v>0.14000000000000001</v>
      </c>
      <c r="I387">
        <v>0.08</v>
      </c>
      <c r="J387">
        <v>0.18</v>
      </c>
      <c r="K387">
        <v>60</v>
      </c>
      <c r="L387" s="5" t="s">
        <v>19</v>
      </c>
    </row>
    <row r="388" spans="1:12" x14ac:dyDescent="0.3">
      <c r="A388" s="5" t="s">
        <v>25</v>
      </c>
      <c r="B388" s="6">
        <v>0.79997262731481478</v>
      </c>
      <c r="C388">
        <v>0.06</v>
      </c>
      <c r="D388">
        <v>0.01</v>
      </c>
      <c r="E388">
        <v>0.1</v>
      </c>
      <c r="F388">
        <v>0</v>
      </c>
      <c r="G388">
        <v>0.03</v>
      </c>
      <c r="H388">
        <v>0.14000000000000001</v>
      </c>
      <c r="I388">
        <v>0.08</v>
      </c>
      <c r="J388">
        <v>0.18</v>
      </c>
      <c r="K388">
        <v>60</v>
      </c>
      <c r="L388" s="5" t="s">
        <v>19</v>
      </c>
    </row>
    <row r="389" spans="1:12" x14ac:dyDescent="0.3">
      <c r="A389" s="5" t="s">
        <v>25</v>
      </c>
      <c r="B389" s="6">
        <v>0.79998420138888893</v>
      </c>
      <c r="C389">
        <v>0.06</v>
      </c>
      <c r="D389">
        <v>0.01</v>
      </c>
      <c r="E389">
        <v>0.1</v>
      </c>
      <c r="F389">
        <v>0</v>
      </c>
      <c r="G389">
        <v>0.03</v>
      </c>
      <c r="H389">
        <v>0.14000000000000001</v>
      </c>
      <c r="I389">
        <v>0.08</v>
      </c>
      <c r="J389">
        <v>0.18</v>
      </c>
      <c r="K389">
        <v>60</v>
      </c>
      <c r="L389" s="5" t="s">
        <v>19</v>
      </c>
    </row>
    <row r="390" spans="1:12" x14ac:dyDescent="0.3">
      <c r="A390" s="5" t="s">
        <v>25</v>
      </c>
      <c r="B390" s="6">
        <v>0.79999577546296297</v>
      </c>
      <c r="C390">
        <v>0.06</v>
      </c>
      <c r="D390">
        <v>0.01</v>
      </c>
      <c r="E390">
        <v>0.1</v>
      </c>
      <c r="F390">
        <v>0</v>
      </c>
      <c r="G390">
        <v>0.03</v>
      </c>
      <c r="H390">
        <v>0.14000000000000001</v>
      </c>
      <c r="I390">
        <v>0.08</v>
      </c>
      <c r="J390">
        <v>0.18</v>
      </c>
      <c r="K390">
        <v>60</v>
      </c>
      <c r="L390" s="5" t="s">
        <v>19</v>
      </c>
    </row>
    <row r="391" spans="1:12" x14ac:dyDescent="0.3">
      <c r="A391" s="5" t="s">
        <v>25</v>
      </c>
      <c r="B391" s="6">
        <v>0.800007349537037</v>
      </c>
      <c r="C391">
        <v>0.06</v>
      </c>
      <c r="D391">
        <v>0.01</v>
      </c>
      <c r="E391">
        <v>0.1</v>
      </c>
      <c r="F391">
        <v>0</v>
      </c>
      <c r="G391">
        <v>0.03</v>
      </c>
      <c r="H391">
        <v>0.14000000000000001</v>
      </c>
      <c r="I391">
        <v>0.08</v>
      </c>
      <c r="J391">
        <v>0.18</v>
      </c>
      <c r="K391">
        <v>60</v>
      </c>
      <c r="L391" s="5" t="s">
        <v>19</v>
      </c>
    </row>
    <row r="392" spans="1:12" x14ac:dyDescent="0.3">
      <c r="A392" s="5" t="s">
        <v>25</v>
      </c>
      <c r="B392" s="6">
        <v>0.80001892361111115</v>
      </c>
      <c r="C392">
        <v>0.06</v>
      </c>
      <c r="D392">
        <v>0.01</v>
      </c>
      <c r="E392">
        <v>0.1</v>
      </c>
      <c r="F392">
        <v>0</v>
      </c>
      <c r="G392">
        <v>0.03</v>
      </c>
      <c r="H392">
        <v>0.14000000000000001</v>
      </c>
      <c r="I392">
        <v>0.08</v>
      </c>
      <c r="J392">
        <v>0.18</v>
      </c>
      <c r="K392">
        <v>60</v>
      </c>
      <c r="L392" s="5" t="s">
        <v>19</v>
      </c>
    </row>
    <row r="393" spans="1:12" x14ac:dyDescent="0.3">
      <c r="A393" s="5" t="s">
        <v>25</v>
      </c>
      <c r="B393" s="6">
        <v>0.80003049768518519</v>
      </c>
      <c r="C393">
        <v>0.06</v>
      </c>
      <c r="D393">
        <v>0.01</v>
      </c>
      <c r="E393">
        <v>0.1</v>
      </c>
      <c r="F393">
        <v>0</v>
      </c>
      <c r="G393">
        <v>0.03</v>
      </c>
      <c r="H393">
        <v>0.14000000000000001</v>
      </c>
      <c r="I393">
        <v>0.08</v>
      </c>
      <c r="J393">
        <v>0.18</v>
      </c>
      <c r="K393">
        <v>60</v>
      </c>
      <c r="L393" s="5" t="s">
        <v>19</v>
      </c>
    </row>
    <row r="394" spans="1:12" x14ac:dyDescent="0.3">
      <c r="A394" s="5" t="s">
        <v>25</v>
      </c>
      <c r="B394" s="6">
        <v>0.80004207175925923</v>
      </c>
      <c r="C394">
        <v>0.06</v>
      </c>
      <c r="D394">
        <v>0.01</v>
      </c>
      <c r="E394">
        <v>0.1</v>
      </c>
      <c r="F394">
        <v>0</v>
      </c>
      <c r="G394">
        <v>0.03</v>
      </c>
      <c r="H394">
        <v>0.14000000000000001</v>
      </c>
      <c r="I394">
        <v>0.08</v>
      </c>
      <c r="J394">
        <v>0.18</v>
      </c>
      <c r="K394">
        <v>60</v>
      </c>
      <c r="L394" s="5" t="s">
        <v>19</v>
      </c>
    </row>
    <row r="395" spans="1:12" x14ac:dyDescent="0.3">
      <c r="A395" s="5" t="s">
        <v>25</v>
      </c>
      <c r="B395" s="6">
        <v>0.80005364583333338</v>
      </c>
      <c r="C395">
        <v>0.06</v>
      </c>
      <c r="D395">
        <v>0.01</v>
      </c>
      <c r="E395">
        <v>0.1</v>
      </c>
      <c r="F395">
        <v>0</v>
      </c>
      <c r="G395">
        <v>0.03</v>
      </c>
      <c r="H395">
        <v>0.14000000000000001</v>
      </c>
      <c r="I395">
        <v>0.08</v>
      </c>
      <c r="J395">
        <v>0.18</v>
      </c>
      <c r="K395">
        <v>60</v>
      </c>
      <c r="L395" s="5" t="s">
        <v>19</v>
      </c>
    </row>
    <row r="396" spans="1:12" x14ac:dyDescent="0.3">
      <c r="A396" s="5" t="s">
        <v>25</v>
      </c>
      <c r="B396" s="6">
        <v>0.80006521990740742</v>
      </c>
      <c r="C396">
        <v>0.06</v>
      </c>
      <c r="D396">
        <v>0.01</v>
      </c>
      <c r="E396">
        <v>0.1</v>
      </c>
      <c r="F396">
        <v>0</v>
      </c>
      <c r="G396">
        <v>0.03</v>
      </c>
      <c r="H396">
        <v>0.14000000000000001</v>
      </c>
      <c r="I396">
        <v>0.08</v>
      </c>
      <c r="J396">
        <v>0.18</v>
      </c>
      <c r="K396">
        <v>60</v>
      </c>
      <c r="L396" s="5" t="s">
        <v>19</v>
      </c>
    </row>
    <row r="397" spans="1:12" x14ac:dyDescent="0.3">
      <c r="A397" s="5" t="s">
        <v>25</v>
      </c>
      <c r="B397" s="6">
        <v>0.80007679398148146</v>
      </c>
      <c r="C397">
        <v>0.06</v>
      </c>
      <c r="D397">
        <v>0.01</v>
      </c>
      <c r="E397">
        <v>0.1</v>
      </c>
      <c r="F397">
        <v>0</v>
      </c>
      <c r="G397">
        <v>0.03</v>
      </c>
      <c r="H397">
        <v>0.14000000000000001</v>
      </c>
      <c r="I397">
        <v>0.08</v>
      </c>
      <c r="J397">
        <v>0.18</v>
      </c>
      <c r="K397">
        <v>60</v>
      </c>
      <c r="L397" s="5" t="s">
        <v>19</v>
      </c>
    </row>
    <row r="398" spans="1:12" x14ac:dyDescent="0.3">
      <c r="A398" s="5" t="s">
        <v>25</v>
      </c>
      <c r="B398" s="6">
        <v>0.80008836805555561</v>
      </c>
      <c r="C398">
        <v>0.06</v>
      </c>
      <c r="D398">
        <v>0.01</v>
      </c>
      <c r="E398">
        <v>0.1</v>
      </c>
      <c r="F398">
        <v>0</v>
      </c>
      <c r="G398">
        <v>0.03</v>
      </c>
      <c r="H398">
        <v>0.14000000000000001</v>
      </c>
      <c r="I398">
        <v>0.08</v>
      </c>
      <c r="J398">
        <v>0.18</v>
      </c>
      <c r="K398">
        <v>60</v>
      </c>
      <c r="L398" s="5" t="s">
        <v>19</v>
      </c>
    </row>
    <row r="399" spans="1:12" x14ac:dyDescent="0.3">
      <c r="A399" s="5" t="s">
        <v>25</v>
      </c>
      <c r="B399" s="6">
        <v>0.80009994212962965</v>
      </c>
      <c r="C399">
        <v>0.06</v>
      </c>
      <c r="D399">
        <v>0.01</v>
      </c>
      <c r="E399">
        <v>0.1</v>
      </c>
      <c r="F399">
        <v>0</v>
      </c>
      <c r="G399">
        <v>0.03</v>
      </c>
      <c r="H399">
        <v>0.14000000000000001</v>
      </c>
      <c r="I399">
        <v>0.08</v>
      </c>
      <c r="J399">
        <v>0.18</v>
      </c>
      <c r="K399">
        <v>60</v>
      </c>
      <c r="L399" s="5" t="s">
        <v>19</v>
      </c>
    </row>
    <row r="400" spans="1:12" x14ac:dyDescent="0.3">
      <c r="A400" s="5" t="s">
        <v>25</v>
      </c>
      <c r="B400" s="6">
        <v>0.80011151620370369</v>
      </c>
      <c r="C400">
        <v>0.06</v>
      </c>
      <c r="D400">
        <v>0.01</v>
      </c>
      <c r="E400">
        <v>0.1</v>
      </c>
      <c r="F400">
        <v>0</v>
      </c>
      <c r="G400">
        <v>0.03</v>
      </c>
      <c r="H400">
        <v>0.14000000000000001</v>
      </c>
      <c r="I400">
        <v>0.08</v>
      </c>
      <c r="J400">
        <v>0.18</v>
      </c>
      <c r="K400">
        <v>60</v>
      </c>
      <c r="L400" s="5" t="s">
        <v>19</v>
      </c>
    </row>
    <row r="401" spans="1:12" x14ac:dyDescent="0.3">
      <c r="A401" s="5" t="s">
        <v>25</v>
      </c>
      <c r="B401" s="6">
        <v>0.80012309027777773</v>
      </c>
      <c r="C401">
        <v>0.06</v>
      </c>
      <c r="D401">
        <v>0.01</v>
      </c>
      <c r="E401">
        <v>0.1</v>
      </c>
      <c r="F401">
        <v>0</v>
      </c>
      <c r="G401">
        <v>0.03</v>
      </c>
      <c r="H401">
        <v>0.14000000000000001</v>
      </c>
      <c r="I401">
        <v>0.08</v>
      </c>
      <c r="J401">
        <v>0.18</v>
      </c>
      <c r="K401">
        <v>60</v>
      </c>
      <c r="L401" s="5" t="s">
        <v>19</v>
      </c>
    </row>
    <row r="402" spans="1:12" x14ac:dyDescent="0.3">
      <c r="A402" s="5" t="s">
        <v>25</v>
      </c>
      <c r="B402" s="6">
        <v>0.80013466435185188</v>
      </c>
      <c r="C402">
        <v>0.06</v>
      </c>
      <c r="D402">
        <v>0.01</v>
      </c>
      <c r="E402">
        <v>0.1</v>
      </c>
      <c r="F402">
        <v>0</v>
      </c>
      <c r="G402">
        <v>0.03</v>
      </c>
      <c r="H402">
        <v>0.14000000000000001</v>
      </c>
      <c r="I402">
        <v>0.08</v>
      </c>
      <c r="J402">
        <v>0.18</v>
      </c>
      <c r="K402">
        <v>60</v>
      </c>
      <c r="L402" s="5" t="s">
        <v>19</v>
      </c>
    </row>
    <row r="403" spans="1:12" x14ac:dyDescent="0.3">
      <c r="A403" s="5" t="s">
        <v>25</v>
      </c>
      <c r="B403" s="6">
        <v>0.80014623842592592</v>
      </c>
      <c r="C403">
        <v>0.06</v>
      </c>
      <c r="D403">
        <v>0.01</v>
      </c>
      <c r="E403">
        <v>0.1</v>
      </c>
      <c r="F403">
        <v>0</v>
      </c>
      <c r="G403">
        <v>0.03</v>
      </c>
      <c r="H403">
        <v>0.14000000000000001</v>
      </c>
      <c r="I403">
        <v>0.08</v>
      </c>
      <c r="J403">
        <v>0.18</v>
      </c>
      <c r="K403">
        <v>60</v>
      </c>
      <c r="L403" s="5" t="s">
        <v>19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46283-77F5-403A-A297-4F84161B8829}">
  <dimension ref="A1:L959"/>
  <sheetViews>
    <sheetView topLeftCell="C1" workbookViewId="0">
      <selection activeCell="H1" sqref="H1:H1048576"/>
    </sheetView>
  </sheetViews>
  <sheetFormatPr defaultRowHeight="14.4" x14ac:dyDescent="0.3"/>
  <cols>
    <col min="1" max="1" width="10.5546875" bestFit="1" customWidth="1"/>
    <col min="2" max="2" width="10.21875" bestFit="1" customWidth="1"/>
    <col min="3" max="3" width="17.109375" bestFit="1" customWidth="1"/>
    <col min="4" max="4" width="16.44140625" bestFit="1" customWidth="1"/>
    <col min="5" max="5" width="21.77734375" bestFit="1" customWidth="1"/>
    <col min="6" max="6" width="21.109375" bestFit="1" customWidth="1"/>
    <col min="7" max="7" width="15.6640625" bestFit="1" customWidth="1"/>
    <col min="8" max="8" width="15" bestFit="1" customWidth="1"/>
    <col min="9" max="9" width="20.33203125" bestFit="1" customWidth="1"/>
    <col min="10" max="10" width="19.77734375" bestFit="1" customWidth="1"/>
    <col min="11" max="11" width="15.77734375" bestFit="1" customWidth="1"/>
    <col min="12" max="12" width="10.77734375" bestFit="1" customWidth="1"/>
  </cols>
  <sheetData>
    <row r="1" spans="1:12" x14ac:dyDescent="0.3">
      <c r="A1" t="s">
        <v>8</v>
      </c>
      <c r="B1" t="s">
        <v>9</v>
      </c>
      <c r="C1" t="s">
        <v>10</v>
      </c>
      <c r="D1" t="s">
        <v>23</v>
      </c>
      <c r="E1" t="s">
        <v>11</v>
      </c>
      <c r="F1" t="s">
        <v>24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</row>
    <row r="2" spans="1:12" hidden="1" x14ac:dyDescent="0.3">
      <c r="A2" s="5" t="s">
        <v>25</v>
      </c>
      <c r="B2" s="6">
        <v>0.81340472222222227</v>
      </c>
      <c r="C2">
        <v>5.27</v>
      </c>
      <c r="D2">
        <v>0.01</v>
      </c>
      <c r="E2">
        <v>7.2</v>
      </c>
      <c r="F2">
        <v>0</v>
      </c>
      <c r="G2">
        <v>0.04</v>
      </c>
      <c r="H2">
        <v>0.14000000000000001</v>
      </c>
      <c r="I2">
        <v>0.1</v>
      </c>
      <c r="J2">
        <v>0.18</v>
      </c>
      <c r="K2">
        <v>59.984000000000002</v>
      </c>
      <c r="L2" s="5" t="s">
        <v>19</v>
      </c>
    </row>
    <row r="3" spans="1:12" hidden="1" x14ac:dyDescent="0.3">
      <c r="A3" s="5" t="s">
        <v>25</v>
      </c>
      <c r="B3" s="6">
        <v>0.8134162962962963</v>
      </c>
      <c r="C3">
        <v>5.26</v>
      </c>
      <c r="D3">
        <v>0.01</v>
      </c>
      <c r="E3">
        <v>7.2</v>
      </c>
      <c r="F3">
        <v>0</v>
      </c>
      <c r="G3">
        <v>0.04</v>
      </c>
      <c r="H3">
        <v>0.14000000000000001</v>
      </c>
      <c r="I3">
        <v>0.1</v>
      </c>
      <c r="J3">
        <v>0.18</v>
      </c>
      <c r="K3">
        <v>59.984000000000002</v>
      </c>
      <c r="L3" s="5" t="s">
        <v>19</v>
      </c>
    </row>
    <row r="4" spans="1:12" hidden="1" x14ac:dyDescent="0.3">
      <c r="A4" s="5" t="s">
        <v>25</v>
      </c>
      <c r="B4" s="6">
        <v>0.81342787037037034</v>
      </c>
      <c r="C4">
        <v>5.26</v>
      </c>
      <c r="D4">
        <v>0.01</v>
      </c>
      <c r="E4">
        <v>7.2</v>
      </c>
      <c r="F4">
        <v>0</v>
      </c>
      <c r="G4">
        <v>0.04</v>
      </c>
      <c r="H4">
        <v>0.14000000000000001</v>
      </c>
      <c r="I4">
        <v>0.1</v>
      </c>
      <c r="J4">
        <v>0.18</v>
      </c>
      <c r="K4">
        <v>59.984000000000002</v>
      </c>
      <c r="L4" s="5" t="s">
        <v>19</v>
      </c>
    </row>
    <row r="5" spans="1:12" hidden="1" x14ac:dyDescent="0.3">
      <c r="A5" s="5" t="s">
        <v>25</v>
      </c>
      <c r="B5" s="6">
        <v>0.81343944444444449</v>
      </c>
      <c r="C5">
        <v>5.25</v>
      </c>
      <c r="D5">
        <v>0.01</v>
      </c>
      <c r="E5">
        <v>7.2</v>
      </c>
      <c r="F5">
        <v>0</v>
      </c>
      <c r="G5">
        <v>0.04</v>
      </c>
      <c r="H5">
        <v>0.14000000000000001</v>
      </c>
      <c r="I5">
        <v>0.1</v>
      </c>
      <c r="J5">
        <v>0.18</v>
      </c>
      <c r="K5">
        <v>59.988</v>
      </c>
      <c r="L5" s="5" t="s">
        <v>19</v>
      </c>
    </row>
    <row r="6" spans="1:12" hidden="1" x14ac:dyDescent="0.3">
      <c r="A6" s="5" t="s">
        <v>25</v>
      </c>
      <c r="B6" s="6">
        <v>0.81345101851851853</v>
      </c>
      <c r="C6">
        <v>5.26</v>
      </c>
      <c r="D6">
        <v>0.01</v>
      </c>
      <c r="E6">
        <v>7.2</v>
      </c>
      <c r="F6">
        <v>0</v>
      </c>
      <c r="G6">
        <v>0.04</v>
      </c>
      <c r="H6">
        <v>0.15</v>
      </c>
      <c r="I6">
        <v>0.1</v>
      </c>
      <c r="J6">
        <v>0.18</v>
      </c>
      <c r="K6">
        <v>59.988</v>
      </c>
      <c r="L6" s="5" t="s">
        <v>19</v>
      </c>
    </row>
    <row r="7" spans="1:12" hidden="1" x14ac:dyDescent="0.3">
      <c r="A7" s="5" t="s">
        <v>25</v>
      </c>
      <c r="B7" s="6">
        <v>0.81346259259259257</v>
      </c>
      <c r="C7">
        <v>5.26</v>
      </c>
      <c r="D7">
        <v>0.01</v>
      </c>
      <c r="E7">
        <v>7.2</v>
      </c>
      <c r="F7">
        <v>0</v>
      </c>
      <c r="G7">
        <v>0.04</v>
      </c>
      <c r="H7">
        <v>0.15</v>
      </c>
      <c r="I7">
        <v>0.1</v>
      </c>
      <c r="J7">
        <v>0.18</v>
      </c>
      <c r="K7">
        <v>59.988</v>
      </c>
      <c r="L7" s="5" t="s">
        <v>19</v>
      </c>
    </row>
    <row r="8" spans="1:12" hidden="1" x14ac:dyDescent="0.3">
      <c r="A8" s="5" t="s">
        <v>25</v>
      </c>
      <c r="B8" s="6">
        <v>0.81347416666666672</v>
      </c>
      <c r="C8">
        <v>5.28</v>
      </c>
      <c r="D8">
        <v>0.01</v>
      </c>
      <c r="E8">
        <v>7.2</v>
      </c>
      <c r="F8">
        <v>0</v>
      </c>
      <c r="G8">
        <v>0.04</v>
      </c>
      <c r="H8">
        <v>0.14000000000000001</v>
      </c>
      <c r="I8">
        <v>0.1</v>
      </c>
      <c r="J8">
        <v>0.18</v>
      </c>
      <c r="K8">
        <v>59.988999999999997</v>
      </c>
      <c r="L8" s="5" t="s">
        <v>19</v>
      </c>
    </row>
    <row r="9" spans="1:12" hidden="1" x14ac:dyDescent="0.3">
      <c r="A9" s="5" t="s">
        <v>25</v>
      </c>
      <c r="B9" s="6">
        <v>0.81348574074074076</v>
      </c>
      <c r="C9">
        <v>5.55</v>
      </c>
      <c r="D9">
        <v>0.01</v>
      </c>
      <c r="E9">
        <v>7.7</v>
      </c>
      <c r="F9">
        <v>0</v>
      </c>
      <c r="G9">
        <v>0.04</v>
      </c>
      <c r="H9">
        <v>0.14000000000000001</v>
      </c>
      <c r="I9">
        <v>0.1</v>
      </c>
      <c r="J9">
        <v>0.18</v>
      </c>
      <c r="K9">
        <v>59.988999999999997</v>
      </c>
      <c r="L9" s="5" t="s">
        <v>19</v>
      </c>
    </row>
    <row r="10" spans="1:12" hidden="1" x14ac:dyDescent="0.3">
      <c r="A10" s="5" t="s">
        <v>25</v>
      </c>
      <c r="B10" s="6">
        <v>0.8134973148148148</v>
      </c>
      <c r="C10">
        <v>5.68</v>
      </c>
      <c r="D10">
        <v>0.01</v>
      </c>
      <c r="E10">
        <v>7.8</v>
      </c>
      <c r="F10">
        <v>0</v>
      </c>
      <c r="G10">
        <v>0.04</v>
      </c>
      <c r="H10">
        <v>0.14000000000000001</v>
      </c>
      <c r="I10">
        <v>0.1</v>
      </c>
      <c r="J10">
        <v>0.18</v>
      </c>
      <c r="K10">
        <v>59.99</v>
      </c>
      <c r="L10" s="5" t="s">
        <v>19</v>
      </c>
    </row>
    <row r="11" spans="1:12" hidden="1" x14ac:dyDescent="0.3">
      <c r="A11" s="5" t="s">
        <v>25</v>
      </c>
      <c r="B11" s="6">
        <v>0.81350888888888884</v>
      </c>
      <c r="C11">
        <v>5.68</v>
      </c>
      <c r="D11">
        <v>0.01</v>
      </c>
      <c r="E11">
        <v>7.8</v>
      </c>
      <c r="F11">
        <v>0</v>
      </c>
      <c r="G11">
        <v>0.04</v>
      </c>
      <c r="H11">
        <v>0.14000000000000001</v>
      </c>
      <c r="I11">
        <v>0.1</v>
      </c>
      <c r="J11">
        <v>0.18</v>
      </c>
      <c r="K11">
        <v>59.991999999999997</v>
      </c>
      <c r="L11" s="5" t="s">
        <v>19</v>
      </c>
    </row>
    <row r="12" spans="1:12" hidden="1" x14ac:dyDescent="0.3">
      <c r="A12" s="5" t="s">
        <v>25</v>
      </c>
      <c r="B12" s="6">
        <v>0.81352046296296299</v>
      </c>
      <c r="C12">
        <v>5.82</v>
      </c>
      <c r="D12">
        <v>0.01</v>
      </c>
      <c r="E12">
        <v>8.1999999999999993</v>
      </c>
      <c r="F12">
        <v>0</v>
      </c>
      <c r="G12">
        <v>0.04</v>
      </c>
      <c r="H12">
        <v>0.14000000000000001</v>
      </c>
      <c r="I12">
        <v>0.1</v>
      </c>
      <c r="J12">
        <v>0.18</v>
      </c>
      <c r="K12">
        <v>60.000999999999998</v>
      </c>
      <c r="L12" s="5" t="s">
        <v>19</v>
      </c>
    </row>
    <row r="13" spans="1:12" hidden="1" x14ac:dyDescent="0.3">
      <c r="A13" s="5" t="s">
        <v>25</v>
      </c>
      <c r="B13" s="6">
        <v>0.81353203703703703</v>
      </c>
      <c r="C13">
        <v>6.44</v>
      </c>
      <c r="D13">
        <v>0.01</v>
      </c>
      <c r="E13">
        <v>8.9</v>
      </c>
      <c r="F13">
        <v>0</v>
      </c>
      <c r="G13">
        <v>0.04</v>
      </c>
      <c r="H13">
        <v>0.14000000000000001</v>
      </c>
      <c r="I13">
        <v>0.1</v>
      </c>
      <c r="J13">
        <v>0.18</v>
      </c>
      <c r="K13">
        <v>60.005000000000003</v>
      </c>
      <c r="L13" s="5" t="s">
        <v>19</v>
      </c>
    </row>
    <row r="14" spans="1:12" hidden="1" x14ac:dyDescent="0.3">
      <c r="A14" s="5" t="s">
        <v>25</v>
      </c>
      <c r="B14" s="6">
        <v>0.81354361111111106</v>
      </c>
      <c r="C14">
        <v>6.43</v>
      </c>
      <c r="D14">
        <v>0.01</v>
      </c>
      <c r="E14">
        <v>8.8000000000000007</v>
      </c>
      <c r="F14">
        <v>0</v>
      </c>
      <c r="G14">
        <v>0.04</v>
      </c>
      <c r="H14">
        <v>0.14000000000000001</v>
      </c>
      <c r="I14">
        <v>0.1</v>
      </c>
      <c r="J14">
        <v>0.18</v>
      </c>
      <c r="K14">
        <v>60.006</v>
      </c>
      <c r="L14" s="5" t="s">
        <v>19</v>
      </c>
    </row>
    <row r="15" spans="1:12" hidden="1" x14ac:dyDescent="0.3">
      <c r="A15" s="5" t="s">
        <v>25</v>
      </c>
      <c r="B15" s="6">
        <v>0.81355518518518521</v>
      </c>
      <c r="C15">
        <v>6.42</v>
      </c>
      <c r="D15">
        <v>0.01</v>
      </c>
      <c r="E15">
        <v>8.8000000000000007</v>
      </c>
      <c r="F15">
        <v>0</v>
      </c>
      <c r="G15">
        <v>0.04</v>
      </c>
      <c r="H15">
        <v>0.14000000000000001</v>
      </c>
      <c r="I15">
        <v>0.1</v>
      </c>
      <c r="J15">
        <v>0.18</v>
      </c>
      <c r="K15">
        <v>60.006999999999998</v>
      </c>
      <c r="L15" s="5" t="s">
        <v>19</v>
      </c>
    </row>
    <row r="16" spans="1:12" hidden="1" x14ac:dyDescent="0.3">
      <c r="A16" s="5" t="s">
        <v>25</v>
      </c>
      <c r="B16" s="6">
        <v>0.81356675925925925</v>
      </c>
      <c r="C16">
        <v>6.41</v>
      </c>
      <c r="D16">
        <v>0.01</v>
      </c>
      <c r="E16">
        <v>8.8000000000000007</v>
      </c>
      <c r="F16">
        <v>0</v>
      </c>
      <c r="G16">
        <v>0.04</v>
      </c>
      <c r="H16">
        <v>0.14000000000000001</v>
      </c>
      <c r="I16">
        <v>0.1</v>
      </c>
      <c r="J16">
        <v>0.18</v>
      </c>
      <c r="K16">
        <v>60.009</v>
      </c>
      <c r="L16" s="5" t="s">
        <v>19</v>
      </c>
    </row>
    <row r="17" spans="1:12" hidden="1" x14ac:dyDescent="0.3">
      <c r="A17" s="5" t="s">
        <v>25</v>
      </c>
      <c r="B17" s="6">
        <v>0.81357833333333329</v>
      </c>
      <c r="C17">
        <v>6.57</v>
      </c>
      <c r="D17">
        <v>0.01</v>
      </c>
      <c r="E17">
        <v>9.1</v>
      </c>
      <c r="F17">
        <v>0</v>
      </c>
      <c r="G17">
        <v>0.04</v>
      </c>
      <c r="H17">
        <v>0.14000000000000001</v>
      </c>
      <c r="I17">
        <v>0.1</v>
      </c>
      <c r="J17">
        <v>0.18</v>
      </c>
      <c r="K17">
        <v>60.01</v>
      </c>
      <c r="L17" s="5" t="s">
        <v>19</v>
      </c>
    </row>
    <row r="18" spans="1:12" hidden="1" x14ac:dyDescent="0.3">
      <c r="A18" s="5" t="s">
        <v>25</v>
      </c>
      <c r="B18" s="6">
        <v>0.81358990740740744</v>
      </c>
      <c r="C18">
        <v>7.27</v>
      </c>
      <c r="D18">
        <v>0.01</v>
      </c>
      <c r="E18">
        <v>10.1</v>
      </c>
      <c r="F18">
        <v>0</v>
      </c>
      <c r="G18">
        <v>0.04</v>
      </c>
      <c r="H18">
        <v>0.14000000000000001</v>
      </c>
      <c r="I18">
        <v>0.1</v>
      </c>
      <c r="J18">
        <v>0.18</v>
      </c>
      <c r="K18">
        <v>60.011000000000003</v>
      </c>
      <c r="L18" s="5" t="s">
        <v>19</v>
      </c>
    </row>
    <row r="19" spans="1:12" hidden="1" x14ac:dyDescent="0.3">
      <c r="A19" s="5" t="s">
        <v>25</v>
      </c>
      <c r="B19" s="6">
        <v>0.81360148148148148</v>
      </c>
      <c r="C19">
        <v>7.25</v>
      </c>
      <c r="D19">
        <v>0.01</v>
      </c>
      <c r="E19">
        <v>10</v>
      </c>
      <c r="F19">
        <v>0</v>
      </c>
      <c r="G19">
        <v>0.04</v>
      </c>
      <c r="H19">
        <v>0.14000000000000001</v>
      </c>
      <c r="I19">
        <v>0.1</v>
      </c>
      <c r="J19">
        <v>0.18</v>
      </c>
      <c r="K19">
        <v>60.012</v>
      </c>
      <c r="L19" s="5" t="s">
        <v>19</v>
      </c>
    </row>
    <row r="20" spans="1:12" hidden="1" x14ac:dyDescent="0.3">
      <c r="A20" s="5" t="s">
        <v>25</v>
      </c>
      <c r="B20" s="6">
        <v>0.81361305555555552</v>
      </c>
      <c r="C20">
        <v>7.24</v>
      </c>
      <c r="D20">
        <v>0.01</v>
      </c>
      <c r="E20">
        <v>10</v>
      </c>
      <c r="F20">
        <v>0</v>
      </c>
      <c r="G20">
        <v>0.04</v>
      </c>
      <c r="H20">
        <v>0.15</v>
      </c>
      <c r="I20">
        <v>0.1</v>
      </c>
      <c r="J20">
        <v>0.18</v>
      </c>
      <c r="K20">
        <v>60.012999999999998</v>
      </c>
      <c r="L20" s="5" t="s">
        <v>19</v>
      </c>
    </row>
    <row r="21" spans="1:12" hidden="1" x14ac:dyDescent="0.3">
      <c r="A21" s="5" t="s">
        <v>25</v>
      </c>
      <c r="B21" s="6">
        <v>0.81362462962962967</v>
      </c>
      <c r="C21">
        <v>7.23</v>
      </c>
      <c r="D21">
        <v>0.01</v>
      </c>
      <c r="E21">
        <v>10</v>
      </c>
      <c r="F21">
        <v>0</v>
      </c>
      <c r="G21">
        <v>0.04</v>
      </c>
      <c r="H21">
        <v>0.15</v>
      </c>
      <c r="I21">
        <v>0.1</v>
      </c>
      <c r="J21">
        <v>0.18</v>
      </c>
      <c r="K21">
        <v>60.014000000000003</v>
      </c>
      <c r="L21" s="5" t="s">
        <v>19</v>
      </c>
    </row>
    <row r="22" spans="1:12" hidden="1" x14ac:dyDescent="0.3">
      <c r="A22" s="5" t="s">
        <v>25</v>
      </c>
      <c r="B22" s="6">
        <v>0.81363620370370371</v>
      </c>
      <c r="C22">
        <v>7.28</v>
      </c>
      <c r="D22">
        <v>0.01</v>
      </c>
      <c r="E22">
        <v>10.1</v>
      </c>
      <c r="F22">
        <v>0</v>
      </c>
      <c r="G22">
        <v>0.04</v>
      </c>
      <c r="H22">
        <v>0.14000000000000001</v>
      </c>
      <c r="I22">
        <v>0.1</v>
      </c>
      <c r="J22">
        <v>0.18</v>
      </c>
      <c r="K22">
        <v>60.014000000000003</v>
      </c>
      <c r="L22" s="5" t="s">
        <v>19</v>
      </c>
    </row>
    <row r="23" spans="1:12" hidden="1" x14ac:dyDescent="0.3">
      <c r="A23" s="5" t="s">
        <v>25</v>
      </c>
      <c r="B23" s="6">
        <v>0.81364777777777775</v>
      </c>
      <c r="C23">
        <v>7.5</v>
      </c>
      <c r="D23">
        <v>0.01</v>
      </c>
      <c r="E23">
        <v>10.4</v>
      </c>
      <c r="F23">
        <v>0</v>
      </c>
      <c r="G23">
        <v>0.04</v>
      </c>
      <c r="H23">
        <v>0.14000000000000001</v>
      </c>
      <c r="I23">
        <v>0.1</v>
      </c>
      <c r="J23">
        <v>0.18</v>
      </c>
      <c r="K23">
        <v>60.014000000000003</v>
      </c>
      <c r="L23" s="5" t="s">
        <v>19</v>
      </c>
    </row>
    <row r="24" spans="1:12" hidden="1" x14ac:dyDescent="0.3">
      <c r="A24" s="5" t="s">
        <v>25</v>
      </c>
      <c r="B24" s="6">
        <v>0.8136593518518519</v>
      </c>
      <c r="C24">
        <v>7.49</v>
      </c>
      <c r="D24">
        <v>0.01</v>
      </c>
      <c r="E24">
        <v>10.4</v>
      </c>
      <c r="F24">
        <v>0</v>
      </c>
      <c r="G24">
        <v>0.04</v>
      </c>
      <c r="H24">
        <v>0.14000000000000001</v>
      </c>
      <c r="I24">
        <v>0.1</v>
      </c>
      <c r="J24">
        <v>0.18</v>
      </c>
      <c r="K24">
        <v>60.014000000000003</v>
      </c>
      <c r="L24" s="5" t="s">
        <v>19</v>
      </c>
    </row>
    <row r="25" spans="1:12" hidden="1" x14ac:dyDescent="0.3">
      <c r="A25" s="5" t="s">
        <v>25</v>
      </c>
      <c r="B25" s="6">
        <v>0.81367092592592594</v>
      </c>
      <c r="C25">
        <v>7.48</v>
      </c>
      <c r="D25">
        <v>0.01</v>
      </c>
      <c r="E25">
        <v>10.4</v>
      </c>
      <c r="F25">
        <v>0</v>
      </c>
      <c r="G25">
        <v>0.04</v>
      </c>
      <c r="H25">
        <v>0.15</v>
      </c>
      <c r="I25">
        <v>0.1</v>
      </c>
      <c r="J25">
        <v>0.18</v>
      </c>
      <c r="K25">
        <v>60.014000000000003</v>
      </c>
      <c r="L25" s="5" t="s">
        <v>19</v>
      </c>
    </row>
    <row r="26" spans="1:12" hidden="1" x14ac:dyDescent="0.3">
      <c r="A26" s="5" t="s">
        <v>25</v>
      </c>
      <c r="B26" s="6">
        <v>0.81368249999999998</v>
      </c>
      <c r="C26">
        <v>7.48</v>
      </c>
      <c r="D26">
        <v>0.01</v>
      </c>
      <c r="E26">
        <v>10.4</v>
      </c>
      <c r="F26">
        <v>0</v>
      </c>
      <c r="G26">
        <v>0.04</v>
      </c>
      <c r="H26">
        <v>0.15</v>
      </c>
      <c r="I26">
        <v>0.1</v>
      </c>
      <c r="J26">
        <v>0.18</v>
      </c>
      <c r="K26">
        <v>60.014000000000003</v>
      </c>
      <c r="L26" s="5" t="s">
        <v>19</v>
      </c>
    </row>
    <row r="27" spans="1:12" hidden="1" x14ac:dyDescent="0.3">
      <c r="A27" s="5" t="s">
        <v>25</v>
      </c>
      <c r="B27" s="6">
        <v>0.81369407407407413</v>
      </c>
      <c r="C27">
        <v>7.51</v>
      </c>
      <c r="D27">
        <v>0.01</v>
      </c>
      <c r="E27">
        <v>10.4</v>
      </c>
      <c r="F27">
        <v>0</v>
      </c>
      <c r="G27">
        <v>0.04</v>
      </c>
      <c r="H27">
        <v>0.15</v>
      </c>
      <c r="I27">
        <v>0.1</v>
      </c>
      <c r="J27">
        <v>0.18</v>
      </c>
      <c r="K27">
        <v>60.014000000000003</v>
      </c>
      <c r="L27" s="5" t="s">
        <v>19</v>
      </c>
    </row>
    <row r="28" spans="1:12" hidden="1" x14ac:dyDescent="0.3">
      <c r="A28" s="5" t="s">
        <v>25</v>
      </c>
      <c r="B28" s="6">
        <v>0.81370564814814816</v>
      </c>
      <c r="C28">
        <v>7.67</v>
      </c>
      <c r="D28">
        <v>0.01</v>
      </c>
      <c r="E28">
        <v>10.7</v>
      </c>
      <c r="F28">
        <v>0</v>
      </c>
      <c r="G28">
        <v>0.04</v>
      </c>
      <c r="H28">
        <v>0.15</v>
      </c>
      <c r="I28">
        <v>0.1</v>
      </c>
      <c r="J28">
        <v>0.18</v>
      </c>
      <c r="K28">
        <v>60.012999999999998</v>
      </c>
      <c r="L28" s="5" t="s">
        <v>19</v>
      </c>
    </row>
    <row r="29" spans="1:12" hidden="1" x14ac:dyDescent="0.3">
      <c r="A29" s="5" t="s">
        <v>25</v>
      </c>
      <c r="B29" s="6">
        <v>0.8137172222222222</v>
      </c>
      <c r="C29">
        <v>7.67</v>
      </c>
      <c r="D29">
        <v>0.01</v>
      </c>
      <c r="E29">
        <v>10.7</v>
      </c>
      <c r="F29">
        <v>0</v>
      </c>
      <c r="G29">
        <v>0.04</v>
      </c>
      <c r="H29">
        <v>0.15</v>
      </c>
      <c r="I29">
        <v>0.1</v>
      </c>
      <c r="J29">
        <v>0.18</v>
      </c>
      <c r="K29">
        <v>60.012</v>
      </c>
      <c r="L29" s="5" t="s">
        <v>19</v>
      </c>
    </row>
    <row r="30" spans="1:12" hidden="1" x14ac:dyDescent="0.3">
      <c r="A30" s="5" t="s">
        <v>25</v>
      </c>
      <c r="B30" s="6">
        <v>0.81372879629629624</v>
      </c>
      <c r="C30">
        <v>7.67</v>
      </c>
      <c r="D30">
        <v>0.01</v>
      </c>
      <c r="E30">
        <v>10.7</v>
      </c>
      <c r="F30">
        <v>0</v>
      </c>
      <c r="G30">
        <v>0.04</v>
      </c>
      <c r="H30">
        <v>0.15</v>
      </c>
      <c r="I30">
        <v>0.1</v>
      </c>
      <c r="J30">
        <v>0.18</v>
      </c>
      <c r="K30">
        <v>60.011000000000003</v>
      </c>
      <c r="L30" s="5" t="s">
        <v>19</v>
      </c>
    </row>
    <row r="31" spans="1:12" hidden="1" x14ac:dyDescent="0.3">
      <c r="A31" s="5" t="s">
        <v>25</v>
      </c>
      <c r="B31" s="6">
        <v>0.81374037037037039</v>
      </c>
      <c r="C31">
        <v>7.67</v>
      </c>
      <c r="D31">
        <v>0.01</v>
      </c>
      <c r="E31">
        <v>10.7</v>
      </c>
      <c r="F31">
        <v>0</v>
      </c>
      <c r="G31">
        <v>0.04</v>
      </c>
      <c r="H31">
        <v>0.14000000000000001</v>
      </c>
      <c r="I31">
        <v>0.1</v>
      </c>
      <c r="J31">
        <v>0.18</v>
      </c>
      <c r="K31">
        <v>60.01</v>
      </c>
      <c r="L31" s="5" t="s">
        <v>19</v>
      </c>
    </row>
    <row r="32" spans="1:12" hidden="1" x14ac:dyDescent="0.3">
      <c r="A32" s="5" t="s">
        <v>25</v>
      </c>
      <c r="B32" s="6">
        <v>0.81375194444444443</v>
      </c>
      <c r="C32">
        <v>7.7</v>
      </c>
      <c r="D32">
        <v>0.01</v>
      </c>
      <c r="E32">
        <v>10.7</v>
      </c>
      <c r="F32">
        <v>0</v>
      </c>
      <c r="G32">
        <v>0.04</v>
      </c>
      <c r="H32">
        <v>0.14000000000000001</v>
      </c>
      <c r="I32">
        <v>0.1</v>
      </c>
      <c r="J32">
        <v>0.18</v>
      </c>
      <c r="K32">
        <v>60.009</v>
      </c>
      <c r="L32" s="5" t="s">
        <v>19</v>
      </c>
    </row>
    <row r="33" spans="1:12" hidden="1" x14ac:dyDescent="0.3">
      <c r="A33" s="5" t="s">
        <v>25</v>
      </c>
      <c r="B33" s="6">
        <v>0.81376351851851847</v>
      </c>
      <c r="C33">
        <v>7.83</v>
      </c>
      <c r="D33">
        <v>0.01</v>
      </c>
      <c r="E33">
        <v>10.9</v>
      </c>
      <c r="F33">
        <v>0</v>
      </c>
      <c r="G33">
        <v>0.04</v>
      </c>
      <c r="H33">
        <v>0.14000000000000001</v>
      </c>
      <c r="I33">
        <v>0.1</v>
      </c>
      <c r="J33">
        <v>0.18</v>
      </c>
      <c r="K33">
        <v>60.008000000000003</v>
      </c>
      <c r="L33" s="5" t="s">
        <v>19</v>
      </c>
    </row>
    <row r="34" spans="1:12" hidden="1" x14ac:dyDescent="0.3">
      <c r="A34" s="5" t="s">
        <v>25</v>
      </c>
      <c r="B34" s="6">
        <v>0.81377509259259262</v>
      </c>
      <c r="C34">
        <v>7.83</v>
      </c>
      <c r="D34">
        <v>0.01</v>
      </c>
      <c r="E34">
        <v>10.9</v>
      </c>
      <c r="F34">
        <v>0</v>
      </c>
      <c r="G34">
        <v>0.04</v>
      </c>
      <c r="H34">
        <v>0.14000000000000001</v>
      </c>
      <c r="I34">
        <v>0.1</v>
      </c>
      <c r="J34">
        <v>0.18</v>
      </c>
      <c r="K34">
        <v>60.008000000000003</v>
      </c>
      <c r="L34" s="5" t="s">
        <v>19</v>
      </c>
    </row>
    <row r="35" spans="1:12" hidden="1" x14ac:dyDescent="0.3">
      <c r="A35" s="5" t="s">
        <v>25</v>
      </c>
      <c r="B35" s="6">
        <v>0.81378666666666666</v>
      </c>
      <c r="C35">
        <v>7.83</v>
      </c>
      <c r="D35">
        <v>0.01</v>
      </c>
      <c r="E35">
        <v>10.9</v>
      </c>
      <c r="F35">
        <v>0</v>
      </c>
      <c r="G35">
        <v>0.04</v>
      </c>
      <c r="H35">
        <v>0.14000000000000001</v>
      </c>
      <c r="I35">
        <v>0.1</v>
      </c>
      <c r="J35">
        <v>0.18</v>
      </c>
      <c r="K35">
        <v>60.006999999999998</v>
      </c>
      <c r="L35" s="5" t="s">
        <v>19</v>
      </c>
    </row>
    <row r="36" spans="1:12" hidden="1" x14ac:dyDescent="0.3">
      <c r="A36" s="5" t="s">
        <v>25</v>
      </c>
      <c r="B36" s="6">
        <v>0.8137982407407407</v>
      </c>
      <c r="C36">
        <v>7.82</v>
      </c>
      <c r="D36">
        <v>0.01</v>
      </c>
      <c r="E36">
        <v>10.9</v>
      </c>
      <c r="F36">
        <v>0</v>
      </c>
      <c r="G36">
        <v>0.04</v>
      </c>
      <c r="H36">
        <v>0.14000000000000001</v>
      </c>
      <c r="I36">
        <v>0.1</v>
      </c>
      <c r="J36">
        <v>0.18</v>
      </c>
      <c r="K36">
        <v>60.006</v>
      </c>
      <c r="L36" s="5" t="s">
        <v>19</v>
      </c>
    </row>
    <row r="37" spans="1:12" hidden="1" x14ac:dyDescent="0.3">
      <c r="A37" s="5" t="s">
        <v>25</v>
      </c>
      <c r="B37" s="6">
        <v>0.81380981481481485</v>
      </c>
      <c r="C37">
        <v>7.86</v>
      </c>
      <c r="D37">
        <v>0.01</v>
      </c>
      <c r="E37">
        <v>11</v>
      </c>
      <c r="F37">
        <v>0</v>
      </c>
      <c r="G37">
        <v>0.04</v>
      </c>
      <c r="H37">
        <v>0.14000000000000001</v>
      </c>
      <c r="I37">
        <v>0.1</v>
      </c>
      <c r="J37">
        <v>0.18</v>
      </c>
      <c r="K37">
        <v>60.006</v>
      </c>
      <c r="L37" s="5" t="s">
        <v>19</v>
      </c>
    </row>
    <row r="38" spans="1:12" hidden="1" x14ac:dyDescent="0.3">
      <c r="A38" s="5" t="s">
        <v>25</v>
      </c>
      <c r="B38" s="6">
        <v>0.81382138888888889</v>
      </c>
      <c r="C38">
        <v>8.02</v>
      </c>
      <c r="D38">
        <v>0.01</v>
      </c>
      <c r="E38">
        <v>11.2</v>
      </c>
      <c r="F38">
        <v>0</v>
      </c>
      <c r="G38">
        <v>0.04</v>
      </c>
      <c r="H38">
        <v>0.14000000000000001</v>
      </c>
      <c r="I38">
        <v>0.1</v>
      </c>
      <c r="J38">
        <v>0.18</v>
      </c>
      <c r="K38">
        <v>60.005000000000003</v>
      </c>
      <c r="L38" s="5" t="s">
        <v>19</v>
      </c>
    </row>
    <row r="39" spans="1:12" hidden="1" x14ac:dyDescent="0.3">
      <c r="A39" s="5" t="s">
        <v>25</v>
      </c>
      <c r="B39" s="6">
        <v>0.81383296296296292</v>
      </c>
      <c r="C39">
        <v>8.02</v>
      </c>
      <c r="D39">
        <v>0.01</v>
      </c>
      <c r="E39">
        <v>11.2</v>
      </c>
      <c r="F39">
        <v>0</v>
      </c>
      <c r="G39">
        <v>0.04</v>
      </c>
      <c r="H39">
        <v>0.14000000000000001</v>
      </c>
      <c r="I39">
        <v>0.1</v>
      </c>
      <c r="J39">
        <v>0.18</v>
      </c>
      <c r="K39">
        <v>60.005000000000003</v>
      </c>
      <c r="L39" s="5" t="s">
        <v>19</v>
      </c>
    </row>
    <row r="40" spans="1:12" hidden="1" x14ac:dyDescent="0.3">
      <c r="A40" s="5" t="s">
        <v>25</v>
      </c>
      <c r="B40" s="6">
        <v>0.81384453703703707</v>
      </c>
      <c r="C40">
        <v>8.02</v>
      </c>
      <c r="D40">
        <v>0.01</v>
      </c>
      <c r="E40">
        <v>11.2</v>
      </c>
      <c r="F40">
        <v>0</v>
      </c>
      <c r="G40">
        <v>0.04</v>
      </c>
      <c r="H40">
        <v>0.14000000000000001</v>
      </c>
      <c r="I40">
        <v>0.1</v>
      </c>
      <c r="J40">
        <v>0.18</v>
      </c>
      <c r="K40">
        <v>60.005000000000003</v>
      </c>
      <c r="L40" s="5" t="s">
        <v>19</v>
      </c>
    </row>
    <row r="41" spans="1:12" hidden="1" x14ac:dyDescent="0.3">
      <c r="A41" s="5" t="s">
        <v>25</v>
      </c>
      <c r="B41" s="6">
        <v>0.81385611111111111</v>
      </c>
      <c r="C41">
        <v>8.02</v>
      </c>
      <c r="D41">
        <v>0.01</v>
      </c>
      <c r="E41">
        <v>11.2</v>
      </c>
      <c r="F41">
        <v>0</v>
      </c>
      <c r="G41">
        <v>0.04</v>
      </c>
      <c r="H41">
        <v>0.14000000000000001</v>
      </c>
      <c r="I41">
        <v>0.1</v>
      </c>
      <c r="J41">
        <v>0.18</v>
      </c>
      <c r="K41">
        <v>60.005000000000003</v>
      </c>
      <c r="L41" s="5" t="s">
        <v>19</v>
      </c>
    </row>
    <row r="42" spans="1:12" hidden="1" x14ac:dyDescent="0.3">
      <c r="A42" s="5" t="s">
        <v>25</v>
      </c>
      <c r="B42" s="6">
        <v>0.81386768518518515</v>
      </c>
      <c r="C42">
        <v>8.0500000000000007</v>
      </c>
      <c r="D42">
        <v>0.01</v>
      </c>
      <c r="E42">
        <v>11.2</v>
      </c>
      <c r="F42">
        <v>0</v>
      </c>
      <c r="G42">
        <v>0.04</v>
      </c>
      <c r="H42">
        <v>0.15</v>
      </c>
      <c r="I42">
        <v>0.1</v>
      </c>
      <c r="J42">
        <v>0.18</v>
      </c>
      <c r="K42">
        <v>60.005000000000003</v>
      </c>
      <c r="L42" s="5" t="s">
        <v>19</v>
      </c>
    </row>
    <row r="43" spans="1:12" hidden="1" x14ac:dyDescent="0.3">
      <c r="A43" s="5" t="s">
        <v>25</v>
      </c>
      <c r="B43" s="6">
        <v>0.8138792592592593</v>
      </c>
      <c r="C43">
        <v>8.1999999999999993</v>
      </c>
      <c r="D43">
        <v>0.01</v>
      </c>
      <c r="E43">
        <v>11.4</v>
      </c>
      <c r="F43">
        <v>0</v>
      </c>
      <c r="G43">
        <v>0.04</v>
      </c>
      <c r="H43">
        <v>0.14000000000000001</v>
      </c>
      <c r="I43">
        <v>0.1</v>
      </c>
      <c r="J43">
        <v>0.18</v>
      </c>
      <c r="K43">
        <v>60.006</v>
      </c>
      <c r="L43" s="5" t="s">
        <v>19</v>
      </c>
    </row>
    <row r="44" spans="1:12" hidden="1" x14ac:dyDescent="0.3">
      <c r="A44" s="5" t="s">
        <v>25</v>
      </c>
      <c r="B44" s="6">
        <v>0.81389083333333334</v>
      </c>
      <c r="C44">
        <v>8.1999999999999993</v>
      </c>
      <c r="D44">
        <v>0.01</v>
      </c>
      <c r="E44">
        <v>11.4</v>
      </c>
      <c r="F44">
        <v>0</v>
      </c>
      <c r="G44">
        <v>0.04</v>
      </c>
      <c r="H44">
        <v>0.14000000000000001</v>
      </c>
      <c r="I44">
        <v>0.1</v>
      </c>
      <c r="J44">
        <v>0.18</v>
      </c>
      <c r="K44">
        <v>60.006</v>
      </c>
      <c r="L44" s="5" t="s">
        <v>19</v>
      </c>
    </row>
    <row r="45" spans="1:12" hidden="1" x14ac:dyDescent="0.3">
      <c r="A45" s="5" t="s">
        <v>25</v>
      </c>
      <c r="B45" s="6">
        <v>0.81390240740740738</v>
      </c>
      <c r="C45">
        <v>8.1999999999999993</v>
      </c>
      <c r="D45">
        <v>0.01</v>
      </c>
      <c r="E45">
        <v>11.4</v>
      </c>
      <c r="F45">
        <v>0</v>
      </c>
      <c r="G45">
        <v>0.04</v>
      </c>
      <c r="H45">
        <v>0.14000000000000001</v>
      </c>
      <c r="I45">
        <v>0.1</v>
      </c>
      <c r="J45">
        <v>0.18</v>
      </c>
      <c r="K45">
        <v>60.006999999999998</v>
      </c>
      <c r="L45" s="5" t="s">
        <v>19</v>
      </c>
    </row>
    <row r="46" spans="1:12" hidden="1" x14ac:dyDescent="0.3">
      <c r="A46" s="5" t="s">
        <v>25</v>
      </c>
      <c r="B46" s="6">
        <v>0.81391398148148153</v>
      </c>
      <c r="C46">
        <v>8.19</v>
      </c>
      <c r="D46">
        <v>0.01</v>
      </c>
      <c r="E46">
        <v>11.4</v>
      </c>
      <c r="F46">
        <v>0</v>
      </c>
      <c r="G46">
        <v>0.04</v>
      </c>
      <c r="H46">
        <v>0.14000000000000001</v>
      </c>
      <c r="I46">
        <v>0.1</v>
      </c>
      <c r="J46">
        <v>0.18</v>
      </c>
      <c r="K46">
        <v>60.008000000000003</v>
      </c>
      <c r="L46" s="5" t="s">
        <v>19</v>
      </c>
    </row>
    <row r="47" spans="1:12" hidden="1" x14ac:dyDescent="0.3">
      <c r="A47" s="5" t="s">
        <v>25</v>
      </c>
      <c r="B47" s="6">
        <v>0.81392555555555557</v>
      </c>
      <c r="C47">
        <v>8.24</v>
      </c>
      <c r="D47">
        <v>0.01</v>
      </c>
      <c r="E47">
        <v>11.5</v>
      </c>
      <c r="F47">
        <v>0</v>
      </c>
      <c r="G47">
        <v>0.04</v>
      </c>
      <c r="H47">
        <v>0.14000000000000001</v>
      </c>
      <c r="I47">
        <v>0.1</v>
      </c>
      <c r="J47">
        <v>0.18</v>
      </c>
      <c r="K47">
        <v>60.008000000000003</v>
      </c>
      <c r="L47" s="5" t="s">
        <v>19</v>
      </c>
    </row>
    <row r="48" spans="1:12" hidden="1" x14ac:dyDescent="0.3">
      <c r="A48" s="5" t="s">
        <v>25</v>
      </c>
      <c r="B48" s="6">
        <v>0.81393712962962961</v>
      </c>
      <c r="C48">
        <v>8.4600000000000009</v>
      </c>
      <c r="D48">
        <v>0.01</v>
      </c>
      <c r="E48">
        <v>11.8</v>
      </c>
      <c r="F48">
        <v>0</v>
      </c>
      <c r="G48">
        <v>0.04</v>
      </c>
      <c r="H48">
        <v>0.15</v>
      </c>
      <c r="I48">
        <v>0.1</v>
      </c>
      <c r="J48">
        <v>0.18</v>
      </c>
      <c r="K48">
        <v>60.009</v>
      </c>
      <c r="L48" s="5" t="s">
        <v>19</v>
      </c>
    </row>
    <row r="49" spans="1:12" hidden="1" x14ac:dyDescent="0.3">
      <c r="A49" s="5" t="s">
        <v>25</v>
      </c>
      <c r="B49" s="6">
        <v>0.81394870370370376</v>
      </c>
      <c r="C49">
        <v>8.4600000000000009</v>
      </c>
      <c r="D49">
        <v>0.01</v>
      </c>
      <c r="E49">
        <v>11.8</v>
      </c>
      <c r="F49">
        <v>0</v>
      </c>
      <c r="G49">
        <v>0.04</v>
      </c>
      <c r="H49">
        <v>0.14000000000000001</v>
      </c>
      <c r="I49">
        <v>0.1</v>
      </c>
      <c r="J49">
        <v>0.18</v>
      </c>
      <c r="K49">
        <v>60.01</v>
      </c>
      <c r="L49" s="5" t="s">
        <v>19</v>
      </c>
    </row>
    <row r="50" spans="1:12" hidden="1" x14ac:dyDescent="0.3">
      <c r="A50" s="5" t="s">
        <v>25</v>
      </c>
      <c r="B50" s="6">
        <v>0.8139602777777778</v>
      </c>
      <c r="C50">
        <v>8.4600000000000009</v>
      </c>
      <c r="D50">
        <v>0.01</v>
      </c>
      <c r="E50">
        <v>11.8</v>
      </c>
      <c r="F50">
        <v>0</v>
      </c>
      <c r="G50">
        <v>0.04</v>
      </c>
      <c r="H50">
        <v>0.14000000000000001</v>
      </c>
      <c r="I50">
        <v>0.1</v>
      </c>
      <c r="J50">
        <v>0.18</v>
      </c>
      <c r="K50">
        <v>60.011000000000003</v>
      </c>
      <c r="L50" s="5" t="s">
        <v>19</v>
      </c>
    </row>
    <row r="51" spans="1:12" hidden="1" x14ac:dyDescent="0.3">
      <c r="A51" s="5" t="s">
        <v>25</v>
      </c>
      <c r="B51" s="6">
        <v>0.81397185185185184</v>
      </c>
      <c r="C51">
        <v>7.86</v>
      </c>
      <c r="D51">
        <v>0.01</v>
      </c>
      <c r="E51">
        <v>11.3</v>
      </c>
      <c r="F51">
        <v>0</v>
      </c>
      <c r="G51">
        <v>0.04</v>
      </c>
      <c r="H51">
        <v>0.14000000000000001</v>
      </c>
      <c r="I51">
        <v>0.1</v>
      </c>
      <c r="J51">
        <v>0.18</v>
      </c>
      <c r="K51">
        <v>60.011000000000003</v>
      </c>
      <c r="L51" s="5" t="s">
        <v>19</v>
      </c>
    </row>
    <row r="52" spans="1:12" hidden="1" x14ac:dyDescent="0.3">
      <c r="A52" s="5" t="s">
        <v>25</v>
      </c>
      <c r="B52" s="6">
        <v>0.81398342592592587</v>
      </c>
      <c r="C52">
        <v>6.22</v>
      </c>
      <c r="D52">
        <v>0.01</v>
      </c>
      <c r="E52">
        <v>8.8000000000000007</v>
      </c>
      <c r="F52">
        <v>0</v>
      </c>
      <c r="G52">
        <v>0.04</v>
      </c>
      <c r="H52">
        <v>0.14000000000000001</v>
      </c>
      <c r="I52">
        <v>0.1</v>
      </c>
      <c r="J52">
        <v>0.18</v>
      </c>
      <c r="K52">
        <v>60.011000000000003</v>
      </c>
      <c r="L52" s="5" t="s">
        <v>19</v>
      </c>
    </row>
    <row r="53" spans="1:12" hidden="1" x14ac:dyDescent="0.3">
      <c r="A53" s="5" t="s">
        <v>25</v>
      </c>
      <c r="B53" s="6">
        <v>0.81399500000000002</v>
      </c>
      <c r="C53">
        <v>5.58</v>
      </c>
      <c r="D53">
        <v>0.01</v>
      </c>
      <c r="E53">
        <v>7.8</v>
      </c>
      <c r="F53">
        <v>0</v>
      </c>
      <c r="G53">
        <v>0.04</v>
      </c>
      <c r="H53">
        <v>0.14000000000000001</v>
      </c>
      <c r="I53">
        <v>0.1</v>
      </c>
      <c r="J53">
        <v>0.18</v>
      </c>
      <c r="K53">
        <v>60.011000000000003</v>
      </c>
      <c r="L53" s="5" t="s">
        <v>19</v>
      </c>
    </row>
    <row r="54" spans="1:12" hidden="1" x14ac:dyDescent="0.3">
      <c r="A54" s="5" t="s">
        <v>25</v>
      </c>
      <c r="B54" s="6">
        <v>0.81400657407407406</v>
      </c>
      <c r="C54">
        <v>5.49</v>
      </c>
      <c r="D54">
        <v>0.01</v>
      </c>
      <c r="E54">
        <v>7.7</v>
      </c>
      <c r="F54">
        <v>0</v>
      </c>
      <c r="G54">
        <v>0.04</v>
      </c>
      <c r="H54">
        <v>0.14000000000000001</v>
      </c>
      <c r="I54">
        <v>0.1</v>
      </c>
      <c r="J54">
        <v>0.18</v>
      </c>
      <c r="K54">
        <v>60.012</v>
      </c>
      <c r="L54" s="5" t="s">
        <v>19</v>
      </c>
    </row>
    <row r="55" spans="1:12" hidden="1" x14ac:dyDescent="0.3">
      <c r="A55" s="5" t="s">
        <v>25</v>
      </c>
      <c r="B55" s="6">
        <v>0.8140181481481481</v>
      </c>
      <c r="C55">
        <v>5.28</v>
      </c>
      <c r="D55">
        <v>0.01</v>
      </c>
      <c r="E55">
        <v>7.4</v>
      </c>
      <c r="F55">
        <v>0</v>
      </c>
      <c r="G55">
        <v>0.04</v>
      </c>
      <c r="H55">
        <v>0.14000000000000001</v>
      </c>
      <c r="I55">
        <v>0.1</v>
      </c>
      <c r="J55">
        <v>0.18</v>
      </c>
      <c r="K55">
        <v>60.012</v>
      </c>
      <c r="L55" s="5" t="s">
        <v>19</v>
      </c>
    </row>
    <row r="56" spans="1:12" hidden="1" x14ac:dyDescent="0.3">
      <c r="A56" s="5" t="s">
        <v>25</v>
      </c>
      <c r="B56" s="6">
        <v>0.81402972222222225</v>
      </c>
      <c r="C56">
        <v>4.9800000000000004</v>
      </c>
      <c r="D56">
        <v>0.01</v>
      </c>
      <c r="E56">
        <v>7</v>
      </c>
      <c r="F56">
        <v>0</v>
      </c>
      <c r="G56">
        <v>0.04</v>
      </c>
      <c r="H56">
        <v>0.15</v>
      </c>
      <c r="I56">
        <v>0.1</v>
      </c>
      <c r="J56">
        <v>0.18</v>
      </c>
      <c r="K56">
        <v>60.012</v>
      </c>
      <c r="L56" s="5" t="s">
        <v>19</v>
      </c>
    </row>
    <row r="57" spans="1:12" hidden="1" x14ac:dyDescent="0.3">
      <c r="A57" s="5" t="s">
        <v>25</v>
      </c>
      <c r="B57" s="6">
        <v>0.81404129629629629</v>
      </c>
      <c r="C57">
        <v>4.99</v>
      </c>
      <c r="D57">
        <v>0.01</v>
      </c>
      <c r="E57">
        <v>7</v>
      </c>
      <c r="F57">
        <v>0</v>
      </c>
      <c r="G57">
        <v>0.04</v>
      </c>
      <c r="H57">
        <v>0.14000000000000001</v>
      </c>
      <c r="I57">
        <v>0.1</v>
      </c>
      <c r="J57">
        <v>0.18</v>
      </c>
      <c r="K57">
        <v>60.012</v>
      </c>
      <c r="L57" s="5" t="s">
        <v>19</v>
      </c>
    </row>
    <row r="58" spans="1:12" hidden="1" x14ac:dyDescent="0.3">
      <c r="A58" s="5" t="s">
        <v>25</v>
      </c>
      <c r="B58" s="6">
        <v>0.81405287037037033</v>
      </c>
      <c r="C58">
        <v>4.9800000000000004</v>
      </c>
      <c r="D58">
        <v>0.01</v>
      </c>
      <c r="E58">
        <v>7</v>
      </c>
      <c r="F58">
        <v>0</v>
      </c>
      <c r="G58">
        <v>0.04</v>
      </c>
      <c r="H58">
        <v>0.15</v>
      </c>
      <c r="I58">
        <v>0.1</v>
      </c>
      <c r="J58">
        <v>0.18</v>
      </c>
      <c r="K58">
        <v>60.012</v>
      </c>
      <c r="L58" s="5" t="s">
        <v>19</v>
      </c>
    </row>
    <row r="59" spans="1:12" hidden="1" x14ac:dyDescent="0.3">
      <c r="A59" s="5" t="s">
        <v>25</v>
      </c>
      <c r="B59" s="6">
        <v>0.81406444444444448</v>
      </c>
      <c r="C59">
        <v>4.99</v>
      </c>
      <c r="D59">
        <v>0.01</v>
      </c>
      <c r="E59">
        <v>7</v>
      </c>
      <c r="F59">
        <v>0</v>
      </c>
      <c r="G59">
        <v>0.04</v>
      </c>
      <c r="H59">
        <v>0.14000000000000001</v>
      </c>
      <c r="I59">
        <v>0.1</v>
      </c>
      <c r="J59">
        <v>0.18</v>
      </c>
      <c r="K59">
        <v>60.012</v>
      </c>
      <c r="L59" s="5" t="s">
        <v>19</v>
      </c>
    </row>
    <row r="60" spans="1:12" hidden="1" x14ac:dyDescent="0.3">
      <c r="A60" s="5" t="s">
        <v>25</v>
      </c>
      <c r="B60" s="6">
        <v>0.81407601851851852</v>
      </c>
      <c r="C60">
        <v>4.99</v>
      </c>
      <c r="D60">
        <v>0.01</v>
      </c>
      <c r="E60">
        <v>7</v>
      </c>
      <c r="F60">
        <v>0</v>
      </c>
      <c r="G60">
        <v>0.04</v>
      </c>
      <c r="H60">
        <v>0.14000000000000001</v>
      </c>
      <c r="I60">
        <v>0.1</v>
      </c>
      <c r="J60">
        <v>0.18</v>
      </c>
      <c r="K60">
        <v>60.012</v>
      </c>
      <c r="L60" s="5" t="s">
        <v>19</v>
      </c>
    </row>
    <row r="61" spans="1:12" hidden="1" x14ac:dyDescent="0.3">
      <c r="A61" s="5" t="s">
        <v>25</v>
      </c>
      <c r="B61" s="6">
        <v>0.81408759259259256</v>
      </c>
      <c r="C61">
        <v>4.99</v>
      </c>
      <c r="D61">
        <v>0.01</v>
      </c>
      <c r="E61">
        <v>7</v>
      </c>
      <c r="F61">
        <v>0</v>
      </c>
      <c r="G61">
        <v>0.04</v>
      </c>
      <c r="H61">
        <v>0.15</v>
      </c>
      <c r="I61">
        <v>0.1</v>
      </c>
      <c r="J61">
        <v>0.18</v>
      </c>
      <c r="K61">
        <v>60.012</v>
      </c>
      <c r="L61" s="5" t="s">
        <v>19</v>
      </c>
    </row>
    <row r="62" spans="1:12" hidden="1" x14ac:dyDescent="0.3">
      <c r="A62" s="5" t="s">
        <v>25</v>
      </c>
      <c r="B62" s="6">
        <v>0.81409916666666671</v>
      </c>
      <c r="C62">
        <v>4.99</v>
      </c>
      <c r="D62">
        <v>0.01</v>
      </c>
      <c r="E62">
        <v>7</v>
      </c>
      <c r="F62">
        <v>0</v>
      </c>
      <c r="G62">
        <v>0.04</v>
      </c>
      <c r="H62">
        <v>0.15</v>
      </c>
      <c r="I62">
        <v>0.1</v>
      </c>
      <c r="J62">
        <v>0.18</v>
      </c>
      <c r="K62">
        <v>60.011000000000003</v>
      </c>
      <c r="L62" s="5" t="s">
        <v>19</v>
      </c>
    </row>
    <row r="63" spans="1:12" hidden="1" x14ac:dyDescent="0.3">
      <c r="A63" s="5" t="s">
        <v>25</v>
      </c>
      <c r="B63" s="6">
        <v>0.81411074074074075</v>
      </c>
      <c r="C63">
        <v>4.99</v>
      </c>
      <c r="D63">
        <v>0.01</v>
      </c>
      <c r="E63">
        <v>7</v>
      </c>
      <c r="F63">
        <v>0</v>
      </c>
      <c r="G63">
        <v>0.04</v>
      </c>
      <c r="H63">
        <v>0.15</v>
      </c>
      <c r="I63">
        <v>0.1</v>
      </c>
      <c r="J63">
        <v>0.18</v>
      </c>
      <c r="K63">
        <v>60.011000000000003</v>
      </c>
      <c r="L63" s="5" t="s">
        <v>19</v>
      </c>
    </row>
    <row r="64" spans="1:12" hidden="1" x14ac:dyDescent="0.3">
      <c r="A64" s="5" t="s">
        <v>25</v>
      </c>
      <c r="B64" s="6">
        <v>0.81412231481481478</v>
      </c>
      <c r="C64">
        <v>4.99</v>
      </c>
      <c r="D64">
        <v>0.01</v>
      </c>
      <c r="E64">
        <v>7</v>
      </c>
      <c r="F64">
        <v>0</v>
      </c>
      <c r="G64">
        <v>0.04</v>
      </c>
      <c r="H64">
        <v>0.15</v>
      </c>
      <c r="I64">
        <v>0.1</v>
      </c>
      <c r="J64">
        <v>0.18</v>
      </c>
      <c r="K64">
        <v>60.01</v>
      </c>
      <c r="L64" s="5" t="s">
        <v>19</v>
      </c>
    </row>
    <row r="65" spans="1:12" hidden="1" x14ac:dyDescent="0.3">
      <c r="A65" s="5" t="s">
        <v>25</v>
      </c>
      <c r="B65" s="6">
        <v>0.81413388888888893</v>
      </c>
      <c r="C65">
        <v>4.99</v>
      </c>
      <c r="D65">
        <v>0.01</v>
      </c>
      <c r="E65">
        <v>7</v>
      </c>
      <c r="F65">
        <v>0</v>
      </c>
      <c r="G65">
        <v>0.04</v>
      </c>
      <c r="H65">
        <v>0.15</v>
      </c>
      <c r="I65">
        <v>0.1</v>
      </c>
      <c r="J65">
        <v>0.18</v>
      </c>
      <c r="K65">
        <v>60.01</v>
      </c>
      <c r="L65" s="5" t="s">
        <v>19</v>
      </c>
    </row>
    <row r="66" spans="1:12" hidden="1" x14ac:dyDescent="0.3">
      <c r="A66" s="5" t="s">
        <v>25</v>
      </c>
      <c r="B66" s="6">
        <v>0.81414546296296297</v>
      </c>
      <c r="C66">
        <v>4.99</v>
      </c>
      <c r="D66">
        <v>0.01</v>
      </c>
      <c r="E66">
        <v>7</v>
      </c>
      <c r="F66">
        <v>0</v>
      </c>
      <c r="G66">
        <v>0.04</v>
      </c>
      <c r="H66">
        <v>0.14000000000000001</v>
      </c>
      <c r="I66">
        <v>0.1</v>
      </c>
      <c r="J66">
        <v>0.18</v>
      </c>
      <c r="K66">
        <v>60.009</v>
      </c>
      <c r="L66" s="5" t="s">
        <v>19</v>
      </c>
    </row>
    <row r="67" spans="1:12" hidden="1" x14ac:dyDescent="0.3">
      <c r="A67" s="5" t="s">
        <v>25</v>
      </c>
      <c r="B67" s="6">
        <v>0.81415703703703701</v>
      </c>
      <c r="C67">
        <v>4.99</v>
      </c>
      <c r="D67">
        <v>0.01</v>
      </c>
      <c r="E67">
        <v>7</v>
      </c>
      <c r="F67">
        <v>0</v>
      </c>
      <c r="G67">
        <v>0.04</v>
      </c>
      <c r="H67">
        <v>0.15</v>
      </c>
      <c r="I67">
        <v>0.1</v>
      </c>
      <c r="J67">
        <v>0.18</v>
      </c>
      <c r="K67">
        <v>60.008000000000003</v>
      </c>
      <c r="L67" s="5" t="s">
        <v>19</v>
      </c>
    </row>
    <row r="68" spans="1:12" hidden="1" x14ac:dyDescent="0.3">
      <c r="A68" s="5" t="s">
        <v>25</v>
      </c>
      <c r="B68" s="6">
        <v>0.81416861111111116</v>
      </c>
      <c r="C68">
        <v>4.99</v>
      </c>
      <c r="D68">
        <v>0.01</v>
      </c>
      <c r="E68">
        <v>7</v>
      </c>
      <c r="F68">
        <v>0</v>
      </c>
      <c r="G68">
        <v>0.04</v>
      </c>
      <c r="H68">
        <v>0.15</v>
      </c>
      <c r="I68">
        <v>0.1</v>
      </c>
      <c r="J68">
        <v>0.18</v>
      </c>
      <c r="K68">
        <v>60.006999999999998</v>
      </c>
      <c r="L68" s="5" t="s">
        <v>19</v>
      </c>
    </row>
    <row r="69" spans="1:12" hidden="1" x14ac:dyDescent="0.3">
      <c r="A69" s="5" t="s">
        <v>25</v>
      </c>
      <c r="B69" s="6">
        <v>0.8141801851851852</v>
      </c>
      <c r="C69">
        <v>4.99</v>
      </c>
      <c r="D69">
        <v>0.01</v>
      </c>
      <c r="E69">
        <v>7</v>
      </c>
      <c r="F69">
        <v>0</v>
      </c>
      <c r="G69">
        <v>0.04</v>
      </c>
      <c r="H69">
        <v>0.15</v>
      </c>
      <c r="I69">
        <v>0.1</v>
      </c>
      <c r="J69">
        <v>0.18</v>
      </c>
      <c r="K69">
        <v>60.006</v>
      </c>
      <c r="L69" s="5" t="s">
        <v>19</v>
      </c>
    </row>
    <row r="70" spans="1:12" hidden="1" x14ac:dyDescent="0.3">
      <c r="A70" s="5" t="s">
        <v>25</v>
      </c>
      <c r="B70" s="6">
        <v>0.81419175925925924</v>
      </c>
      <c r="C70">
        <v>4.99</v>
      </c>
      <c r="D70">
        <v>0.01</v>
      </c>
      <c r="E70">
        <v>7</v>
      </c>
      <c r="F70">
        <v>0</v>
      </c>
      <c r="G70">
        <v>0.04</v>
      </c>
      <c r="H70">
        <v>0.14000000000000001</v>
      </c>
      <c r="I70">
        <v>0.1</v>
      </c>
      <c r="J70">
        <v>0.18</v>
      </c>
      <c r="K70">
        <v>60.006</v>
      </c>
      <c r="L70" s="5" t="s">
        <v>19</v>
      </c>
    </row>
    <row r="71" spans="1:12" hidden="1" x14ac:dyDescent="0.3">
      <c r="A71" s="5" t="s">
        <v>25</v>
      </c>
      <c r="B71" s="6">
        <v>0.81420333333333328</v>
      </c>
      <c r="C71">
        <v>4.99</v>
      </c>
      <c r="D71">
        <v>0.01</v>
      </c>
      <c r="E71">
        <v>7</v>
      </c>
      <c r="F71">
        <v>0</v>
      </c>
      <c r="G71">
        <v>0.04</v>
      </c>
      <c r="H71">
        <v>0.14000000000000001</v>
      </c>
      <c r="I71">
        <v>0.1</v>
      </c>
      <c r="J71">
        <v>0.18</v>
      </c>
      <c r="K71">
        <v>60.005000000000003</v>
      </c>
      <c r="L71" s="5" t="s">
        <v>19</v>
      </c>
    </row>
    <row r="72" spans="1:12" hidden="1" x14ac:dyDescent="0.3">
      <c r="A72" s="5" t="s">
        <v>25</v>
      </c>
      <c r="B72" s="6">
        <v>0.81421490740740743</v>
      </c>
      <c r="C72">
        <v>4.99</v>
      </c>
      <c r="D72">
        <v>0.01</v>
      </c>
      <c r="E72">
        <v>7</v>
      </c>
      <c r="F72">
        <v>0</v>
      </c>
      <c r="G72">
        <v>0.04</v>
      </c>
      <c r="H72">
        <v>0.14000000000000001</v>
      </c>
      <c r="I72">
        <v>0.1</v>
      </c>
      <c r="J72">
        <v>0.18</v>
      </c>
      <c r="K72">
        <v>60.005000000000003</v>
      </c>
      <c r="L72" s="5" t="s">
        <v>19</v>
      </c>
    </row>
    <row r="73" spans="1:12" hidden="1" x14ac:dyDescent="0.3">
      <c r="A73" s="5" t="s">
        <v>25</v>
      </c>
      <c r="B73" s="6">
        <v>0.81422648148148147</v>
      </c>
      <c r="C73">
        <v>4.99</v>
      </c>
      <c r="D73">
        <v>0.01</v>
      </c>
      <c r="E73">
        <v>7</v>
      </c>
      <c r="F73">
        <v>0</v>
      </c>
      <c r="G73">
        <v>0.04</v>
      </c>
      <c r="H73">
        <v>0.14000000000000001</v>
      </c>
      <c r="I73">
        <v>0.1</v>
      </c>
      <c r="J73">
        <v>0.18</v>
      </c>
      <c r="K73">
        <v>60.005000000000003</v>
      </c>
      <c r="L73" s="5" t="s">
        <v>19</v>
      </c>
    </row>
    <row r="74" spans="1:12" hidden="1" x14ac:dyDescent="0.3">
      <c r="A74" s="5" t="s">
        <v>25</v>
      </c>
      <c r="B74" s="6">
        <v>0.81423805555555551</v>
      </c>
      <c r="C74">
        <v>4.99</v>
      </c>
      <c r="D74">
        <v>0.01</v>
      </c>
      <c r="E74">
        <v>7</v>
      </c>
      <c r="F74">
        <v>0</v>
      </c>
      <c r="G74">
        <v>0.04</v>
      </c>
      <c r="H74">
        <v>0.14000000000000001</v>
      </c>
      <c r="I74">
        <v>0.1</v>
      </c>
      <c r="J74">
        <v>0.18</v>
      </c>
      <c r="K74">
        <v>60.005000000000003</v>
      </c>
      <c r="L74" s="5" t="s">
        <v>19</v>
      </c>
    </row>
    <row r="75" spans="1:12" hidden="1" x14ac:dyDescent="0.3">
      <c r="A75" s="5" t="s">
        <v>25</v>
      </c>
      <c r="B75" s="6">
        <v>0.81424962962962966</v>
      </c>
      <c r="C75">
        <v>4.99</v>
      </c>
      <c r="D75">
        <v>0.01</v>
      </c>
      <c r="E75">
        <v>7</v>
      </c>
      <c r="F75">
        <v>0</v>
      </c>
      <c r="G75">
        <v>0.04</v>
      </c>
      <c r="H75">
        <v>0.14000000000000001</v>
      </c>
      <c r="I75">
        <v>0.1</v>
      </c>
      <c r="J75">
        <v>0.18</v>
      </c>
      <c r="K75">
        <v>60.005000000000003</v>
      </c>
      <c r="L75" s="5" t="s">
        <v>19</v>
      </c>
    </row>
    <row r="76" spans="1:12" hidden="1" x14ac:dyDescent="0.3">
      <c r="A76" s="5" t="s">
        <v>25</v>
      </c>
      <c r="B76" s="6">
        <v>0.8142612037037037</v>
      </c>
      <c r="C76">
        <v>4.99</v>
      </c>
      <c r="D76">
        <v>0.01</v>
      </c>
      <c r="E76">
        <v>7</v>
      </c>
      <c r="F76">
        <v>0</v>
      </c>
      <c r="G76">
        <v>0.04</v>
      </c>
      <c r="H76">
        <v>0.14000000000000001</v>
      </c>
      <c r="I76">
        <v>0.1</v>
      </c>
      <c r="J76">
        <v>0.18</v>
      </c>
      <c r="K76">
        <v>60.006</v>
      </c>
      <c r="L76" s="5" t="s">
        <v>19</v>
      </c>
    </row>
    <row r="77" spans="1:12" hidden="1" x14ac:dyDescent="0.3">
      <c r="A77" s="5" t="s">
        <v>25</v>
      </c>
      <c r="B77" s="6">
        <v>0.81427277777777773</v>
      </c>
      <c r="C77">
        <v>4.9800000000000004</v>
      </c>
      <c r="D77">
        <v>0.01</v>
      </c>
      <c r="E77">
        <v>7</v>
      </c>
      <c r="F77">
        <v>0</v>
      </c>
      <c r="G77">
        <v>0.04</v>
      </c>
      <c r="H77">
        <v>0.14000000000000001</v>
      </c>
      <c r="I77">
        <v>0.1</v>
      </c>
      <c r="J77">
        <v>0.18</v>
      </c>
      <c r="K77">
        <v>60.006</v>
      </c>
      <c r="L77" s="5" t="s">
        <v>19</v>
      </c>
    </row>
    <row r="78" spans="1:12" hidden="1" x14ac:dyDescent="0.3">
      <c r="A78" s="5" t="s">
        <v>25</v>
      </c>
      <c r="B78" s="6">
        <v>0.81428435185185188</v>
      </c>
      <c r="C78">
        <v>4.8600000000000003</v>
      </c>
      <c r="D78">
        <v>0.01</v>
      </c>
      <c r="E78">
        <v>6.8</v>
      </c>
      <c r="F78">
        <v>0</v>
      </c>
      <c r="G78">
        <v>0.04</v>
      </c>
      <c r="H78">
        <v>0.14000000000000001</v>
      </c>
      <c r="I78">
        <v>0.1</v>
      </c>
      <c r="J78">
        <v>0.18</v>
      </c>
      <c r="K78">
        <v>60.006</v>
      </c>
      <c r="L78" s="5" t="s">
        <v>19</v>
      </c>
    </row>
    <row r="79" spans="1:12" hidden="1" x14ac:dyDescent="0.3">
      <c r="A79" s="5" t="s">
        <v>25</v>
      </c>
      <c r="B79" s="6">
        <v>0.81429592592592592</v>
      </c>
      <c r="C79">
        <v>4.8600000000000003</v>
      </c>
      <c r="D79">
        <v>0.01</v>
      </c>
      <c r="E79">
        <v>6.8</v>
      </c>
      <c r="F79">
        <v>0</v>
      </c>
      <c r="G79">
        <v>0.04</v>
      </c>
      <c r="H79">
        <v>0.14000000000000001</v>
      </c>
      <c r="I79">
        <v>0.1</v>
      </c>
      <c r="J79">
        <v>0.18</v>
      </c>
      <c r="K79">
        <v>60.006999999999998</v>
      </c>
      <c r="L79" s="5" t="s">
        <v>19</v>
      </c>
    </row>
    <row r="80" spans="1:12" hidden="1" x14ac:dyDescent="0.3">
      <c r="A80" s="5" t="s">
        <v>25</v>
      </c>
      <c r="B80" s="6">
        <v>0.81430749999999996</v>
      </c>
      <c r="C80">
        <v>4.8600000000000003</v>
      </c>
      <c r="D80">
        <v>0.01</v>
      </c>
      <c r="E80">
        <v>6.8</v>
      </c>
      <c r="F80">
        <v>0</v>
      </c>
      <c r="G80">
        <v>0.04</v>
      </c>
      <c r="H80">
        <v>0.14000000000000001</v>
      </c>
      <c r="I80">
        <v>0.1</v>
      </c>
      <c r="J80">
        <v>0.18</v>
      </c>
      <c r="K80">
        <v>60.006999999999998</v>
      </c>
      <c r="L80" s="5" t="s">
        <v>19</v>
      </c>
    </row>
    <row r="81" spans="1:12" hidden="1" x14ac:dyDescent="0.3">
      <c r="A81" s="5" t="s">
        <v>25</v>
      </c>
      <c r="B81" s="6">
        <v>0.81431907407407411</v>
      </c>
      <c r="C81">
        <v>4.8600000000000003</v>
      </c>
      <c r="D81">
        <v>0.01</v>
      </c>
      <c r="E81">
        <v>6.8</v>
      </c>
      <c r="F81">
        <v>0</v>
      </c>
      <c r="G81">
        <v>0.04</v>
      </c>
      <c r="H81">
        <v>0.14000000000000001</v>
      </c>
      <c r="I81">
        <v>0.1</v>
      </c>
      <c r="J81">
        <v>0.18</v>
      </c>
      <c r="K81">
        <v>60.006999999999998</v>
      </c>
      <c r="L81" s="5" t="s">
        <v>19</v>
      </c>
    </row>
    <row r="82" spans="1:12" hidden="1" x14ac:dyDescent="0.3">
      <c r="A82" s="5" t="s">
        <v>25</v>
      </c>
      <c r="B82" s="6">
        <v>0.81433064814814815</v>
      </c>
      <c r="C82">
        <v>4.8499999999999996</v>
      </c>
      <c r="D82">
        <v>0.01</v>
      </c>
      <c r="E82">
        <v>6.8</v>
      </c>
      <c r="F82">
        <v>0</v>
      </c>
      <c r="G82">
        <v>0.04</v>
      </c>
      <c r="H82">
        <v>0.14000000000000001</v>
      </c>
      <c r="I82">
        <v>0.1</v>
      </c>
      <c r="J82">
        <v>0.18</v>
      </c>
      <c r="K82">
        <v>60.006999999999998</v>
      </c>
      <c r="L82" s="5" t="s">
        <v>19</v>
      </c>
    </row>
    <row r="83" spans="1:12" hidden="1" x14ac:dyDescent="0.3">
      <c r="A83" s="5" t="s">
        <v>25</v>
      </c>
      <c r="B83" s="6">
        <v>0.81434222222222219</v>
      </c>
      <c r="C83">
        <v>4.83</v>
      </c>
      <c r="D83">
        <v>0.01</v>
      </c>
      <c r="E83">
        <v>6.7</v>
      </c>
      <c r="F83">
        <v>0</v>
      </c>
      <c r="G83">
        <v>0.04</v>
      </c>
      <c r="H83">
        <v>0.14000000000000001</v>
      </c>
      <c r="I83">
        <v>0.1</v>
      </c>
      <c r="J83">
        <v>0.18</v>
      </c>
      <c r="K83">
        <v>60.008000000000003</v>
      </c>
      <c r="L83" s="5" t="s">
        <v>19</v>
      </c>
    </row>
    <row r="84" spans="1:12" hidden="1" x14ac:dyDescent="0.3">
      <c r="A84" s="5" t="s">
        <v>25</v>
      </c>
      <c r="B84" s="6">
        <v>0.81435379629629634</v>
      </c>
      <c r="C84">
        <v>4.83</v>
      </c>
      <c r="D84">
        <v>0.01</v>
      </c>
      <c r="E84">
        <v>6.7</v>
      </c>
      <c r="F84">
        <v>0</v>
      </c>
      <c r="G84">
        <v>0.04</v>
      </c>
      <c r="H84">
        <v>0.14000000000000001</v>
      </c>
      <c r="I84">
        <v>0.1</v>
      </c>
      <c r="J84">
        <v>0.18</v>
      </c>
      <c r="K84">
        <v>60.008000000000003</v>
      </c>
      <c r="L84" s="5" t="s">
        <v>19</v>
      </c>
    </row>
    <row r="85" spans="1:12" hidden="1" x14ac:dyDescent="0.3">
      <c r="A85" s="5" t="s">
        <v>25</v>
      </c>
      <c r="B85" s="6">
        <v>0.81436537037037038</v>
      </c>
      <c r="C85">
        <v>4.83</v>
      </c>
      <c r="D85">
        <v>0.01</v>
      </c>
      <c r="E85">
        <v>6.7</v>
      </c>
      <c r="F85">
        <v>0</v>
      </c>
      <c r="G85">
        <v>0.04</v>
      </c>
      <c r="H85">
        <v>0.14000000000000001</v>
      </c>
      <c r="I85">
        <v>0.1</v>
      </c>
      <c r="J85">
        <v>0.18</v>
      </c>
      <c r="K85">
        <v>60.008000000000003</v>
      </c>
      <c r="L85" s="5" t="s">
        <v>19</v>
      </c>
    </row>
    <row r="86" spans="1:12" hidden="1" x14ac:dyDescent="0.3">
      <c r="A86" s="5" t="s">
        <v>25</v>
      </c>
      <c r="B86" s="6">
        <v>0.81437694444444442</v>
      </c>
      <c r="C86">
        <v>4.83</v>
      </c>
      <c r="D86">
        <v>0.01</v>
      </c>
      <c r="E86">
        <v>6.7</v>
      </c>
      <c r="F86">
        <v>0</v>
      </c>
      <c r="G86">
        <v>0.04</v>
      </c>
      <c r="H86">
        <v>0.14000000000000001</v>
      </c>
      <c r="I86">
        <v>0.1</v>
      </c>
      <c r="J86">
        <v>0.18</v>
      </c>
      <c r="K86">
        <v>60.008000000000003</v>
      </c>
      <c r="L86" s="5" t="s">
        <v>19</v>
      </c>
    </row>
    <row r="87" spans="1:12" hidden="1" x14ac:dyDescent="0.3">
      <c r="A87" s="5" t="s">
        <v>25</v>
      </c>
      <c r="B87" s="6">
        <v>0.81438851851851857</v>
      </c>
      <c r="C87">
        <v>4.72</v>
      </c>
      <c r="D87">
        <v>0.01</v>
      </c>
      <c r="E87">
        <v>6.7</v>
      </c>
      <c r="F87">
        <v>0</v>
      </c>
      <c r="G87">
        <v>0.04</v>
      </c>
      <c r="H87">
        <v>0.14000000000000001</v>
      </c>
      <c r="I87">
        <v>0.1</v>
      </c>
      <c r="J87">
        <v>0.18</v>
      </c>
      <c r="K87">
        <v>60.008000000000003</v>
      </c>
      <c r="L87" s="5" t="s">
        <v>19</v>
      </c>
    </row>
    <row r="88" spans="1:12" hidden="1" x14ac:dyDescent="0.3">
      <c r="A88" s="5" t="s">
        <v>25</v>
      </c>
      <c r="B88" s="6">
        <v>0.81440009259259261</v>
      </c>
      <c r="C88">
        <v>4.13</v>
      </c>
      <c r="D88">
        <v>0.01</v>
      </c>
      <c r="E88">
        <v>5.8</v>
      </c>
      <c r="F88">
        <v>0</v>
      </c>
      <c r="G88">
        <v>0.04</v>
      </c>
      <c r="H88">
        <v>0.14000000000000001</v>
      </c>
      <c r="I88">
        <v>0.1</v>
      </c>
      <c r="J88">
        <v>0.18</v>
      </c>
      <c r="K88">
        <v>60.008000000000003</v>
      </c>
      <c r="L88" s="5" t="s">
        <v>19</v>
      </c>
    </row>
    <row r="89" spans="1:12" hidden="1" x14ac:dyDescent="0.3">
      <c r="A89" s="5" t="s">
        <v>25</v>
      </c>
      <c r="B89" s="6">
        <v>0.81441166666666664</v>
      </c>
      <c r="C89">
        <v>4.1399999999999997</v>
      </c>
      <c r="D89">
        <v>0.01</v>
      </c>
      <c r="E89">
        <v>5.8</v>
      </c>
      <c r="F89">
        <v>0</v>
      </c>
      <c r="G89">
        <v>0.04</v>
      </c>
      <c r="H89">
        <v>0.14000000000000001</v>
      </c>
      <c r="I89">
        <v>0.1</v>
      </c>
      <c r="J89">
        <v>0.18</v>
      </c>
      <c r="K89">
        <v>60.009</v>
      </c>
      <c r="L89" s="5" t="s">
        <v>19</v>
      </c>
    </row>
    <row r="90" spans="1:12" hidden="1" x14ac:dyDescent="0.3">
      <c r="A90" s="5" t="s">
        <v>25</v>
      </c>
      <c r="B90" s="6">
        <v>0.81442324074074079</v>
      </c>
      <c r="C90">
        <v>4.13</v>
      </c>
      <c r="D90">
        <v>0.01</v>
      </c>
      <c r="E90">
        <v>5.8</v>
      </c>
      <c r="F90">
        <v>0</v>
      </c>
      <c r="G90">
        <v>0.04</v>
      </c>
      <c r="H90">
        <v>0.14000000000000001</v>
      </c>
      <c r="I90">
        <v>0.1</v>
      </c>
      <c r="J90">
        <v>0.18</v>
      </c>
      <c r="K90">
        <v>60.009</v>
      </c>
      <c r="L90" s="5" t="s">
        <v>19</v>
      </c>
    </row>
    <row r="91" spans="1:12" hidden="1" x14ac:dyDescent="0.3">
      <c r="A91" s="5" t="s">
        <v>25</v>
      </c>
      <c r="B91" s="6">
        <v>0.81443481481481483</v>
      </c>
      <c r="C91">
        <v>4.13</v>
      </c>
      <c r="D91">
        <v>0.01</v>
      </c>
      <c r="E91">
        <v>5.8</v>
      </c>
      <c r="F91">
        <v>0</v>
      </c>
      <c r="G91">
        <v>0.04</v>
      </c>
      <c r="H91">
        <v>0.14000000000000001</v>
      </c>
      <c r="I91">
        <v>0.1</v>
      </c>
      <c r="J91">
        <v>0.18</v>
      </c>
      <c r="K91">
        <v>60.009</v>
      </c>
      <c r="L91" s="5" t="s">
        <v>19</v>
      </c>
    </row>
    <row r="92" spans="1:12" hidden="1" x14ac:dyDescent="0.3">
      <c r="A92" s="5" t="s">
        <v>25</v>
      </c>
      <c r="B92" s="6">
        <v>0.81444638888888887</v>
      </c>
      <c r="C92">
        <v>4.0599999999999996</v>
      </c>
      <c r="D92">
        <v>0.01</v>
      </c>
      <c r="E92">
        <v>5.8</v>
      </c>
      <c r="F92">
        <v>0</v>
      </c>
      <c r="G92">
        <v>0.04</v>
      </c>
      <c r="H92">
        <v>0.14000000000000001</v>
      </c>
      <c r="I92">
        <v>0.1</v>
      </c>
      <c r="J92">
        <v>0.18</v>
      </c>
      <c r="K92">
        <v>60.009</v>
      </c>
      <c r="L92" s="5" t="s">
        <v>19</v>
      </c>
    </row>
    <row r="93" spans="1:12" hidden="1" x14ac:dyDescent="0.3">
      <c r="A93" s="5" t="s">
        <v>25</v>
      </c>
      <c r="B93" s="6">
        <v>0.81445796296296291</v>
      </c>
      <c r="C93">
        <v>3.63</v>
      </c>
      <c r="D93">
        <v>0.01</v>
      </c>
      <c r="E93">
        <v>4.9000000000000004</v>
      </c>
      <c r="F93">
        <v>0</v>
      </c>
      <c r="G93">
        <v>0.04</v>
      </c>
      <c r="H93">
        <v>0.14000000000000001</v>
      </c>
      <c r="I93">
        <v>0.1</v>
      </c>
      <c r="J93">
        <v>0.18</v>
      </c>
      <c r="K93">
        <v>60.009</v>
      </c>
      <c r="L93" s="5" t="s">
        <v>19</v>
      </c>
    </row>
    <row r="94" spans="1:12" hidden="1" x14ac:dyDescent="0.3">
      <c r="A94" s="5" t="s">
        <v>25</v>
      </c>
      <c r="B94" s="6">
        <v>0.81446953703703706</v>
      </c>
      <c r="C94">
        <v>3.63</v>
      </c>
      <c r="D94">
        <v>0.01</v>
      </c>
      <c r="E94">
        <v>4.9000000000000004</v>
      </c>
      <c r="F94">
        <v>0</v>
      </c>
      <c r="G94">
        <v>0.04</v>
      </c>
      <c r="H94">
        <v>0.14000000000000001</v>
      </c>
      <c r="I94">
        <v>0.1</v>
      </c>
      <c r="J94">
        <v>0.18</v>
      </c>
      <c r="K94">
        <v>60.009</v>
      </c>
      <c r="L94" s="5" t="s">
        <v>19</v>
      </c>
    </row>
    <row r="95" spans="1:12" hidden="1" x14ac:dyDescent="0.3">
      <c r="A95" s="5" t="s">
        <v>25</v>
      </c>
      <c r="B95" s="6">
        <v>0.8144811111111111</v>
      </c>
      <c r="C95">
        <v>3.63</v>
      </c>
      <c r="D95">
        <v>0.01</v>
      </c>
      <c r="E95">
        <v>4.9000000000000004</v>
      </c>
      <c r="F95">
        <v>0</v>
      </c>
      <c r="G95">
        <v>0.04</v>
      </c>
      <c r="H95">
        <v>0.14000000000000001</v>
      </c>
      <c r="I95">
        <v>0.1</v>
      </c>
      <c r="J95">
        <v>0.18</v>
      </c>
      <c r="K95">
        <v>60.009</v>
      </c>
      <c r="L95" s="5" t="s">
        <v>19</v>
      </c>
    </row>
    <row r="96" spans="1:12" hidden="1" x14ac:dyDescent="0.3">
      <c r="A96" s="5" t="s">
        <v>25</v>
      </c>
      <c r="B96" s="6">
        <v>0.81449268518518514</v>
      </c>
      <c r="C96">
        <v>3.65</v>
      </c>
      <c r="D96">
        <v>0.01</v>
      </c>
      <c r="E96">
        <v>4.9000000000000004</v>
      </c>
      <c r="F96">
        <v>0</v>
      </c>
      <c r="G96">
        <v>0.04</v>
      </c>
      <c r="H96">
        <v>0.14000000000000001</v>
      </c>
      <c r="I96">
        <v>0.1</v>
      </c>
      <c r="J96">
        <v>0.18</v>
      </c>
      <c r="K96">
        <v>60.01</v>
      </c>
      <c r="L96" s="5" t="s">
        <v>19</v>
      </c>
    </row>
    <row r="97" spans="1:12" hidden="1" x14ac:dyDescent="0.3">
      <c r="A97" s="5" t="s">
        <v>25</v>
      </c>
      <c r="B97" s="6">
        <v>0.81450425925925929</v>
      </c>
      <c r="C97">
        <v>3.59</v>
      </c>
      <c r="D97">
        <v>0.01</v>
      </c>
      <c r="E97">
        <v>4.9000000000000004</v>
      </c>
      <c r="F97">
        <v>0</v>
      </c>
      <c r="G97">
        <v>0.04</v>
      </c>
      <c r="H97">
        <v>0.14000000000000001</v>
      </c>
      <c r="I97">
        <v>0.1</v>
      </c>
      <c r="J97">
        <v>0.18</v>
      </c>
      <c r="K97">
        <v>60.01</v>
      </c>
      <c r="L97" s="5" t="s">
        <v>19</v>
      </c>
    </row>
    <row r="98" spans="1:12" hidden="1" x14ac:dyDescent="0.3">
      <c r="A98" s="5" t="s">
        <v>25</v>
      </c>
      <c r="B98" s="6">
        <v>0.81451583333333333</v>
      </c>
      <c r="C98">
        <v>3.29</v>
      </c>
      <c r="D98">
        <v>0.01</v>
      </c>
      <c r="E98">
        <v>4.4000000000000004</v>
      </c>
      <c r="F98">
        <v>0</v>
      </c>
      <c r="G98">
        <v>0.04</v>
      </c>
      <c r="H98">
        <v>0.14000000000000001</v>
      </c>
      <c r="I98">
        <v>0.1</v>
      </c>
      <c r="J98">
        <v>0.18</v>
      </c>
      <c r="K98">
        <v>60.01</v>
      </c>
      <c r="L98" s="5" t="s">
        <v>19</v>
      </c>
    </row>
    <row r="99" spans="1:12" hidden="1" x14ac:dyDescent="0.3">
      <c r="A99" s="5" t="s">
        <v>25</v>
      </c>
      <c r="B99" s="6">
        <v>0.81452740740740737</v>
      </c>
      <c r="C99">
        <v>3.28</v>
      </c>
      <c r="D99">
        <v>0.01</v>
      </c>
      <c r="E99">
        <v>4.4000000000000004</v>
      </c>
      <c r="F99">
        <v>0</v>
      </c>
      <c r="G99">
        <v>0.04</v>
      </c>
      <c r="H99">
        <v>0.14000000000000001</v>
      </c>
      <c r="I99">
        <v>0.1</v>
      </c>
      <c r="J99">
        <v>0.18</v>
      </c>
      <c r="K99">
        <v>60.01</v>
      </c>
      <c r="L99" s="5" t="s">
        <v>19</v>
      </c>
    </row>
    <row r="100" spans="1:12" hidden="1" x14ac:dyDescent="0.3">
      <c r="A100" s="5" t="s">
        <v>25</v>
      </c>
      <c r="B100" s="6">
        <v>0.81453898148148152</v>
      </c>
      <c r="C100">
        <v>3.29</v>
      </c>
      <c r="D100">
        <v>0.01</v>
      </c>
      <c r="E100">
        <v>4.4000000000000004</v>
      </c>
      <c r="F100">
        <v>0</v>
      </c>
      <c r="G100">
        <v>0.04</v>
      </c>
      <c r="H100">
        <v>0.14000000000000001</v>
      </c>
      <c r="I100">
        <v>0.1</v>
      </c>
      <c r="J100">
        <v>0.18</v>
      </c>
      <c r="K100">
        <v>60.01</v>
      </c>
      <c r="L100" s="5" t="s">
        <v>19</v>
      </c>
    </row>
    <row r="101" spans="1:12" hidden="1" x14ac:dyDescent="0.3">
      <c r="A101" s="5" t="s">
        <v>25</v>
      </c>
      <c r="B101" s="6">
        <v>0.81455055555555556</v>
      </c>
      <c r="C101">
        <v>3.29</v>
      </c>
      <c r="D101">
        <v>0.01</v>
      </c>
      <c r="E101">
        <v>4.4000000000000004</v>
      </c>
      <c r="F101">
        <v>0</v>
      </c>
      <c r="G101">
        <v>0.04</v>
      </c>
      <c r="H101">
        <v>0.14000000000000001</v>
      </c>
      <c r="I101">
        <v>0.1</v>
      </c>
      <c r="J101">
        <v>0.18</v>
      </c>
      <c r="K101">
        <v>60.01</v>
      </c>
      <c r="L101" s="5" t="s">
        <v>19</v>
      </c>
    </row>
    <row r="102" spans="1:12" hidden="1" x14ac:dyDescent="0.3">
      <c r="A102" s="5" t="s">
        <v>25</v>
      </c>
      <c r="B102" s="6">
        <v>0.81456212962962959</v>
      </c>
      <c r="C102">
        <v>3.28</v>
      </c>
      <c r="D102">
        <v>0.01</v>
      </c>
      <c r="E102">
        <v>4.4000000000000004</v>
      </c>
      <c r="F102">
        <v>0</v>
      </c>
      <c r="G102">
        <v>0.04</v>
      </c>
      <c r="H102">
        <v>0.14000000000000001</v>
      </c>
      <c r="I102">
        <v>0.1</v>
      </c>
      <c r="J102">
        <v>0.18</v>
      </c>
      <c r="K102">
        <v>60.01</v>
      </c>
      <c r="L102" s="5" t="s">
        <v>19</v>
      </c>
    </row>
    <row r="103" spans="1:12" hidden="1" x14ac:dyDescent="0.3">
      <c r="A103" s="5" t="s">
        <v>25</v>
      </c>
      <c r="B103" s="6">
        <v>0.81457370370370374</v>
      </c>
      <c r="C103">
        <v>3.27</v>
      </c>
      <c r="D103">
        <v>0.01</v>
      </c>
      <c r="E103">
        <v>4.4000000000000004</v>
      </c>
      <c r="F103">
        <v>0</v>
      </c>
      <c r="G103">
        <v>0.04</v>
      </c>
      <c r="H103">
        <v>0.14000000000000001</v>
      </c>
      <c r="I103">
        <v>0.1</v>
      </c>
      <c r="J103">
        <v>0.18</v>
      </c>
      <c r="K103">
        <v>60.01</v>
      </c>
      <c r="L103" s="5" t="s">
        <v>19</v>
      </c>
    </row>
    <row r="104" spans="1:12" hidden="1" x14ac:dyDescent="0.3">
      <c r="A104" s="5" t="s">
        <v>25</v>
      </c>
      <c r="B104" s="6">
        <v>0.81458527777777778</v>
      </c>
      <c r="C104">
        <v>3.27</v>
      </c>
      <c r="D104">
        <v>0.01</v>
      </c>
      <c r="E104">
        <v>4.4000000000000004</v>
      </c>
      <c r="F104">
        <v>0</v>
      </c>
      <c r="G104">
        <v>0.04</v>
      </c>
      <c r="H104">
        <v>0.14000000000000001</v>
      </c>
      <c r="I104">
        <v>0.1</v>
      </c>
      <c r="J104">
        <v>0.18</v>
      </c>
      <c r="K104">
        <v>60.01</v>
      </c>
      <c r="L104" s="5" t="s">
        <v>19</v>
      </c>
    </row>
    <row r="105" spans="1:12" hidden="1" x14ac:dyDescent="0.3">
      <c r="A105" s="5" t="s">
        <v>25</v>
      </c>
      <c r="B105" s="6">
        <v>0.81459685185185182</v>
      </c>
      <c r="C105">
        <v>3.28</v>
      </c>
      <c r="D105">
        <v>0.01</v>
      </c>
      <c r="E105">
        <v>4.4000000000000004</v>
      </c>
      <c r="F105">
        <v>0</v>
      </c>
      <c r="G105">
        <v>0.04</v>
      </c>
      <c r="H105">
        <v>0.14000000000000001</v>
      </c>
      <c r="I105">
        <v>0.1</v>
      </c>
      <c r="J105">
        <v>0.18</v>
      </c>
      <c r="K105">
        <v>60.01</v>
      </c>
      <c r="L105" s="5" t="s">
        <v>19</v>
      </c>
    </row>
    <row r="106" spans="1:12" hidden="1" x14ac:dyDescent="0.3">
      <c r="A106" s="5" t="s">
        <v>25</v>
      </c>
      <c r="B106" s="6">
        <v>0.81460842592592597</v>
      </c>
      <c r="C106">
        <v>3.27</v>
      </c>
      <c r="D106">
        <v>0.01</v>
      </c>
      <c r="E106">
        <v>4.4000000000000004</v>
      </c>
      <c r="F106">
        <v>0</v>
      </c>
      <c r="G106">
        <v>0.04</v>
      </c>
      <c r="H106">
        <v>0.14000000000000001</v>
      </c>
      <c r="I106">
        <v>0.1</v>
      </c>
      <c r="J106">
        <v>0.18</v>
      </c>
      <c r="K106">
        <v>60.01</v>
      </c>
      <c r="L106" s="5" t="s">
        <v>19</v>
      </c>
    </row>
    <row r="107" spans="1:12" hidden="1" x14ac:dyDescent="0.3">
      <c r="A107" s="5" t="s">
        <v>25</v>
      </c>
      <c r="B107" s="6">
        <v>0.81462000000000001</v>
      </c>
      <c r="C107">
        <v>3.27</v>
      </c>
      <c r="D107">
        <v>0.01</v>
      </c>
      <c r="E107">
        <v>4.4000000000000004</v>
      </c>
      <c r="F107">
        <v>0</v>
      </c>
      <c r="G107">
        <v>0.04</v>
      </c>
      <c r="H107">
        <v>0.14000000000000001</v>
      </c>
      <c r="I107">
        <v>0.1</v>
      </c>
      <c r="J107">
        <v>0.18</v>
      </c>
      <c r="K107">
        <v>60.009</v>
      </c>
      <c r="L107" s="5" t="s">
        <v>19</v>
      </c>
    </row>
    <row r="108" spans="1:12" hidden="1" x14ac:dyDescent="0.3">
      <c r="A108" s="5" t="s">
        <v>25</v>
      </c>
      <c r="B108" s="6">
        <v>0.81463157407407405</v>
      </c>
      <c r="C108">
        <v>3.27</v>
      </c>
      <c r="D108">
        <v>0.01</v>
      </c>
      <c r="E108">
        <v>4.4000000000000004</v>
      </c>
      <c r="F108">
        <v>0</v>
      </c>
      <c r="G108">
        <v>0.04</v>
      </c>
      <c r="H108">
        <v>0.14000000000000001</v>
      </c>
      <c r="I108">
        <v>0.1</v>
      </c>
      <c r="J108">
        <v>0.18</v>
      </c>
      <c r="K108">
        <v>60.009</v>
      </c>
      <c r="L108" s="5" t="s">
        <v>19</v>
      </c>
    </row>
    <row r="109" spans="1:12" hidden="1" x14ac:dyDescent="0.3">
      <c r="A109" s="5" t="s">
        <v>25</v>
      </c>
      <c r="B109" s="6">
        <v>0.8146431481481482</v>
      </c>
      <c r="C109">
        <v>3.26</v>
      </c>
      <c r="D109">
        <v>0.01</v>
      </c>
      <c r="E109">
        <v>4.4000000000000004</v>
      </c>
      <c r="F109">
        <v>0</v>
      </c>
      <c r="G109">
        <v>0.04</v>
      </c>
      <c r="H109">
        <v>0.14000000000000001</v>
      </c>
      <c r="I109">
        <v>0.1</v>
      </c>
      <c r="J109">
        <v>0.18</v>
      </c>
      <c r="K109">
        <v>60.009</v>
      </c>
      <c r="L109" s="5" t="s">
        <v>19</v>
      </c>
    </row>
    <row r="110" spans="1:12" hidden="1" x14ac:dyDescent="0.3">
      <c r="A110" s="5" t="s">
        <v>25</v>
      </c>
      <c r="B110" s="6">
        <v>0.81465472222222224</v>
      </c>
      <c r="C110">
        <v>3.26</v>
      </c>
      <c r="D110">
        <v>0.01</v>
      </c>
      <c r="E110">
        <v>4.4000000000000004</v>
      </c>
      <c r="F110">
        <v>0</v>
      </c>
      <c r="G110">
        <v>0.04</v>
      </c>
      <c r="H110">
        <v>0.14000000000000001</v>
      </c>
      <c r="I110">
        <v>0.1</v>
      </c>
      <c r="J110">
        <v>0.18</v>
      </c>
      <c r="K110">
        <v>60.008000000000003</v>
      </c>
      <c r="L110" s="5" t="s">
        <v>19</v>
      </c>
    </row>
    <row r="111" spans="1:12" hidden="1" x14ac:dyDescent="0.3">
      <c r="A111" s="5" t="s">
        <v>25</v>
      </c>
      <c r="B111" s="6">
        <v>0.81466629629629628</v>
      </c>
      <c r="C111">
        <v>3.27</v>
      </c>
      <c r="D111">
        <v>0.01</v>
      </c>
      <c r="E111">
        <v>4.4000000000000004</v>
      </c>
      <c r="F111">
        <v>0</v>
      </c>
      <c r="G111">
        <v>0.04</v>
      </c>
      <c r="H111">
        <v>0.14000000000000001</v>
      </c>
      <c r="I111">
        <v>0.1</v>
      </c>
      <c r="J111">
        <v>0.18</v>
      </c>
      <c r="K111">
        <v>60.008000000000003</v>
      </c>
      <c r="L111" s="5" t="s">
        <v>19</v>
      </c>
    </row>
    <row r="112" spans="1:12" hidden="1" x14ac:dyDescent="0.3">
      <c r="A112" s="5" t="s">
        <v>25</v>
      </c>
      <c r="B112" s="6">
        <v>0.81467787037037032</v>
      </c>
      <c r="C112">
        <v>3.27</v>
      </c>
      <c r="D112">
        <v>0.01</v>
      </c>
      <c r="E112">
        <v>4.4000000000000004</v>
      </c>
      <c r="F112">
        <v>0</v>
      </c>
      <c r="G112">
        <v>0.04</v>
      </c>
      <c r="H112">
        <v>0.14000000000000001</v>
      </c>
      <c r="I112">
        <v>0.1</v>
      </c>
      <c r="J112">
        <v>0.18</v>
      </c>
      <c r="K112">
        <v>60.006999999999998</v>
      </c>
      <c r="L112" s="5" t="s">
        <v>19</v>
      </c>
    </row>
    <row r="113" spans="1:12" hidden="1" x14ac:dyDescent="0.3">
      <c r="A113" s="5" t="s">
        <v>25</v>
      </c>
      <c r="B113" s="6">
        <v>0.81468944444444447</v>
      </c>
      <c r="C113">
        <v>3.27</v>
      </c>
      <c r="D113">
        <v>0.01</v>
      </c>
      <c r="E113">
        <v>4.4000000000000004</v>
      </c>
      <c r="F113">
        <v>0</v>
      </c>
      <c r="G113">
        <v>0.04</v>
      </c>
      <c r="H113">
        <v>0.14000000000000001</v>
      </c>
      <c r="I113">
        <v>0.1</v>
      </c>
      <c r="J113">
        <v>0.18</v>
      </c>
      <c r="K113">
        <v>60.006999999999998</v>
      </c>
      <c r="L113" s="5" t="s">
        <v>19</v>
      </c>
    </row>
    <row r="114" spans="1:12" hidden="1" x14ac:dyDescent="0.3">
      <c r="A114" s="5" t="s">
        <v>25</v>
      </c>
      <c r="B114" s="6">
        <v>0.8147010185185185</v>
      </c>
      <c r="C114">
        <v>3.27</v>
      </c>
      <c r="D114">
        <v>0.01</v>
      </c>
      <c r="E114">
        <v>4.4000000000000004</v>
      </c>
      <c r="F114">
        <v>0</v>
      </c>
      <c r="G114">
        <v>0.04</v>
      </c>
      <c r="H114">
        <v>0.14000000000000001</v>
      </c>
      <c r="I114">
        <v>0.1</v>
      </c>
      <c r="J114">
        <v>0.18</v>
      </c>
      <c r="K114">
        <v>60.006</v>
      </c>
      <c r="L114" s="5" t="s">
        <v>19</v>
      </c>
    </row>
    <row r="115" spans="1:12" hidden="1" x14ac:dyDescent="0.3">
      <c r="A115" s="5" t="s">
        <v>25</v>
      </c>
      <c r="B115" s="6">
        <v>0.81471259259259254</v>
      </c>
      <c r="C115">
        <v>3.26</v>
      </c>
      <c r="D115">
        <v>0.01</v>
      </c>
      <c r="E115">
        <v>4.4000000000000004</v>
      </c>
      <c r="F115">
        <v>0</v>
      </c>
      <c r="G115">
        <v>0.04</v>
      </c>
      <c r="H115">
        <v>0.14000000000000001</v>
      </c>
      <c r="I115">
        <v>0.1</v>
      </c>
      <c r="J115">
        <v>0.18</v>
      </c>
      <c r="K115">
        <v>60.006</v>
      </c>
      <c r="L115" s="5" t="s">
        <v>19</v>
      </c>
    </row>
    <row r="116" spans="1:12" hidden="1" x14ac:dyDescent="0.3">
      <c r="A116" s="5" t="s">
        <v>25</v>
      </c>
      <c r="B116" s="6">
        <v>0.81472416666666669</v>
      </c>
      <c r="C116">
        <v>3.26</v>
      </c>
      <c r="D116">
        <v>0.01</v>
      </c>
      <c r="E116">
        <v>4.4000000000000004</v>
      </c>
      <c r="F116">
        <v>0</v>
      </c>
      <c r="G116">
        <v>0.04</v>
      </c>
      <c r="H116">
        <v>0.14000000000000001</v>
      </c>
      <c r="I116">
        <v>0.1</v>
      </c>
      <c r="J116">
        <v>0.18</v>
      </c>
      <c r="K116">
        <v>60.006</v>
      </c>
      <c r="L116" s="5" t="s">
        <v>19</v>
      </c>
    </row>
    <row r="117" spans="1:12" hidden="1" x14ac:dyDescent="0.3">
      <c r="A117" s="5" t="s">
        <v>25</v>
      </c>
      <c r="B117" s="6">
        <v>0.81473574074074073</v>
      </c>
      <c r="C117">
        <v>3.25</v>
      </c>
      <c r="D117">
        <v>0.01</v>
      </c>
      <c r="E117">
        <v>4.3</v>
      </c>
      <c r="F117">
        <v>0</v>
      </c>
      <c r="G117">
        <v>0.04</v>
      </c>
      <c r="H117">
        <v>0.14000000000000001</v>
      </c>
      <c r="I117">
        <v>0.1</v>
      </c>
      <c r="J117">
        <v>0.18</v>
      </c>
      <c r="K117">
        <v>60.005000000000003</v>
      </c>
      <c r="L117" s="5" t="s">
        <v>19</v>
      </c>
    </row>
    <row r="118" spans="1:12" hidden="1" x14ac:dyDescent="0.3">
      <c r="A118" s="5" t="s">
        <v>25</v>
      </c>
      <c r="B118" s="6">
        <v>0.81474731481481477</v>
      </c>
      <c r="C118">
        <v>3.24</v>
      </c>
      <c r="D118">
        <v>0.01</v>
      </c>
      <c r="E118">
        <v>4.3</v>
      </c>
      <c r="F118">
        <v>0</v>
      </c>
      <c r="G118">
        <v>0.04</v>
      </c>
      <c r="H118">
        <v>0.14000000000000001</v>
      </c>
      <c r="I118">
        <v>0.1</v>
      </c>
      <c r="J118">
        <v>0.18</v>
      </c>
      <c r="K118">
        <v>60.005000000000003</v>
      </c>
      <c r="L118" s="5" t="s">
        <v>19</v>
      </c>
    </row>
    <row r="119" spans="1:12" hidden="1" x14ac:dyDescent="0.3">
      <c r="A119" s="5" t="s">
        <v>25</v>
      </c>
      <c r="B119" s="6">
        <v>0.81475888888888892</v>
      </c>
      <c r="C119">
        <v>3.24</v>
      </c>
      <c r="D119">
        <v>0.01</v>
      </c>
      <c r="E119">
        <v>4.3</v>
      </c>
      <c r="F119">
        <v>0</v>
      </c>
      <c r="G119">
        <v>0.04</v>
      </c>
      <c r="H119">
        <v>0.14000000000000001</v>
      </c>
      <c r="I119">
        <v>0.1</v>
      </c>
      <c r="J119">
        <v>0.18</v>
      </c>
      <c r="K119">
        <v>60.003999999999998</v>
      </c>
      <c r="L119" s="5" t="s">
        <v>19</v>
      </c>
    </row>
    <row r="120" spans="1:12" hidden="1" x14ac:dyDescent="0.3">
      <c r="A120" s="5" t="s">
        <v>25</v>
      </c>
      <c r="B120" s="6">
        <v>0.81477046296296296</v>
      </c>
      <c r="C120">
        <v>3.25</v>
      </c>
      <c r="D120">
        <v>0.01</v>
      </c>
      <c r="E120">
        <v>4.3</v>
      </c>
      <c r="F120">
        <v>0</v>
      </c>
      <c r="G120">
        <v>0.04</v>
      </c>
      <c r="H120">
        <v>0.14000000000000001</v>
      </c>
      <c r="I120">
        <v>0.1</v>
      </c>
      <c r="J120">
        <v>0.18</v>
      </c>
      <c r="K120">
        <v>60.003999999999998</v>
      </c>
      <c r="L120" s="5" t="s">
        <v>19</v>
      </c>
    </row>
    <row r="121" spans="1:12" hidden="1" x14ac:dyDescent="0.3">
      <c r="A121" s="5" t="s">
        <v>25</v>
      </c>
      <c r="B121" s="6">
        <v>0.814782037037037</v>
      </c>
      <c r="C121">
        <v>3.26</v>
      </c>
      <c r="D121">
        <v>0.01</v>
      </c>
      <c r="E121">
        <v>4.4000000000000004</v>
      </c>
      <c r="F121">
        <v>0</v>
      </c>
      <c r="G121">
        <v>0.04</v>
      </c>
      <c r="H121">
        <v>0.14000000000000001</v>
      </c>
      <c r="I121">
        <v>0.1</v>
      </c>
      <c r="J121">
        <v>0.18</v>
      </c>
      <c r="K121">
        <v>60.003999999999998</v>
      </c>
      <c r="L121" s="5" t="s">
        <v>19</v>
      </c>
    </row>
    <row r="122" spans="1:12" hidden="1" x14ac:dyDescent="0.3">
      <c r="A122" s="5" t="s">
        <v>25</v>
      </c>
      <c r="B122" s="6">
        <v>0.81479361111111115</v>
      </c>
      <c r="C122">
        <v>3.25</v>
      </c>
      <c r="D122">
        <v>0.01</v>
      </c>
      <c r="E122">
        <v>4.4000000000000004</v>
      </c>
      <c r="F122">
        <v>0</v>
      </c>
      <c r="G122">
        <v>0.04</v>
      </c>
      <c r="H122">
        <v>0.14000000000000001</v>
      </c>
      <c r="I122">
        <v>0.1</v>
      </c>
      <c r="J122">
        <v>0.18</v>
      </c>
      <c r="K122">
        <v>60.003</v>
      </c>
      <c r="L122" s="5" t="s">
        <v>19</v>
      </c>
    </row>
    <row r="123" spans="1:12" hidden="1" x14ac:dyDescent="0.3">
      <c r="A123" s="5" t="s">
        <v>25</v>
      </c>
      <c r="B123" s="6">
        <v>0.81480518518518519</v>
      </c>
      <c r="C123">
        <v>3.25</v>
      </c>
      <c r="D123">
        <v>0.01</v>
      </c>
      <c r="E123">
        <v>4.3</v>
      </c>
      <c r="F123">
        <v>0</v>
      </c>
      <c r="G123">
        <v>0.04</v>
      </c>
      <c r="H123">
        <v>0.14000000000000001</v>
      </c>
      <c r="I123">
        <v>0.1</v>
      </c>
      <c r="J123">
        <v>0.18</v>
      </c>
      <c r="K123">
        <v>60.003</v>
      </c>
      <c r="L123" s="5" t="s">
        <v>19</v>
      </c>
    </row>
    <row r="124" spans="1:12" hidden="1" x14ac:dyDescent="0.3">
      <c r="A124" s="5" t="s">
        <v>25</v>
      </c>
      <c r="B124" s="6">
        <v>0.81481675925925923</v>
      </c>
      <c r="C124">
        <v>3.24</v>
      </c>
      <c r="D124">
        <v>0.01</v>
      </c>
      <c r="E124">
        <v>4.3</v>
      </c>
      <c r="F124">
        <v>0</v>
      </c>
      <c r="G124">
        <v>0.04</v>
      </c>
      <c r="H124">
        <v>0.14000000000000001</v>
      </c>
      <c r="I124">
        <v>0.1</v>
      </c>
      <c r="J124">
        <v>0.18</v>
      </c>
      <c r="K124">
        <v>60.003</v>
      </c>
      <c r="L124" s="5" t="s">
        <v>19</v>
      </c>
    </row>
    <row r="125" spans="1:12" hidden="1" x14ac:dyDescent="0.3">
      <c r="A125" s="5" t="s">
        <v>25</v>
      </c>
      <c r="B125" s="6">
        <v>0.81482833333333338</v>
      </c>
      <c r="C125">
        <v>3.25</v>
      </c>
      <c r="D125">
        <v>0.01</v>
      </c>
      <c r="E125">
        <v>4.3</v>
      </c>
      <c r="F125">
        <v>0</v>
      </c>
      <c r="G125">
        <v>0.04</v>
      </c>
      <c r="H125">
        <v>0.14000000000000001</v>
      </c>
      <c r="I125">
        <v>0.1</v>
      </c>
      <c r="J125">
        <v>0.18</v>
      </c>
      <c r="K125">
        <v>60.003</v>
      </c>
      <c r="L125" s="5" t="s">
        <v>19</v>
      </c>
    </row>
    <row r="126" spans="1:12" hidden="1" x14ac:dyDescent="0.3">
      <c r="A126" s="5" t="s">
        <v>25</v>
      </c>
      <c r="B126" s="6">
        <v>0.81483990740740742</v>
      </c>
      <c r="C126">
        <v>3.25</v>
      </c>
      <c r="D126">
        <v>0.01</v>
      </c>
      <c r="E126">
        <v>4.3</v>
      </c>
      <c r="F126">
        <v>0</v>
      </c>
      <c r="G126">
        <v>0.04</v>
      </c>
      <c r="H126">
        <v>0.14000000000000001</v>
      </c>
      <c r="I126">
        <v>0.1</v>
      </c>
      <c r="J126">
        <v>0.18</v>
      </c>
      <c r="K126">
        <v>60.003</v>
      </c>
      <c r="L126" s="5" t="s">
        <v>19</v>
      </c>
    </row>
    <row r="127" spans="1:12" hidden="1" x14ac:dyDescent="0.3">
      <c r="A127" s="5" t="s">
        <v>25</v>
      </c>
      <c r="B127" s="6">
        <v>0.81485148148148145</v>
      </c>
      <c r="C127">
        <v>3.25</v>
      </c>
      <c r="D127">
        <v>0.01</v>
      </c>
      <c r="E127">
        <v>4.3</v>
      </c>
      <c r="F127">
        <v>0</v>
      </c>
      <c r="G127">
        <v>0.04</v>
      </c>
      <c r="H127">
        <v>0.14000000000000001</v>
      </c>
      <c r="I127">
        <v>0.1</v>
      </c>
      <c r="J127">
        <v>0.18</v>
      </c>
      <c r="K127">
        <v>60.003</v>
      </c>
      <c r="L127" s="5" t="s">
        <v>19</v>
      </c>
    </row>
    <row r="128" spans="1:12" hidden="1" x14ac:dyDescent="0.3">
      <c r="A128" s="5" t="s">
        <v>25</v>
      </c>
      <c r="B128" s="6">
        <v>0.8148630555555556</v>
      </c>
      <c r="C128">
        <v>3.27</v>
      </c>
      <c r="D128">
        <v>0.01</v>
      </c>
      <c r="E128">
        <v>4.4000000000000004</v>
      </c>
      <c r="F128">
        <v>0</v>
      </c>
      <c r="G128">
        <v>0.04</v>
      </c>
      <c r="H128">
        <v>0.14000000000000001</v>
      </c>
      <c r="I128">
        <v>0.1</v>
      </c>
      <c r="J128">
        <v>0.18</v>
      </c>
      <c r="K128">
        <v>60.003</v>
      </c>
      <c r="L128" s="5" t="s">
        <v>19</v>
      </c>
    </row>
    <row r="129" spans="1:12" hidden="1" x14ac:dyDescent="0.3">
      <c r="A129" s="5" t="s">
        <v>25</v>
      </c>
      <c r="B129" s="6">
        <v>0.81487462962962964</v>
      </c>
      <c r="C129">
        <v>3.27</v>
      </c>
      <c r="D129">
        <v>0.01</v>
      </c>
      <c r="E129">
        <v>4.4000000000000004</v>
      </c>
      <c r="F129">
        <v>0</v>
      </c>
      <c r="G129">
        <v>0.04</v>
      </c>
      <c r="H129">
        <v>0.14000000000000001</v>
      </c>
      <c r="I129">
        <v>0.1</v>
      </c>
      <c r="J129">
        <v>0.18</v>
      </c>
      <c r="K129">
        <v>60.003999999999998</v>
      </c>
      <c r="L129" s="5" t="s">
        <v>19</v>
      </c>
    </row>
    <row r="130" spans="1:12" hidden="1" x14ac:dyDescent="0.3">
      <c r="A130" s="5" t="s">
        <v>25</v>
      </c>
      <c r="B130" s="6">
        <v>0.81488620370370368</v>
      </c>
      <c r="C130">
        <v>3.27</v>
      </c>
      <c r="D130">
        <v>0.01</v>
      </c>
      <c r="E130">
        <v>4.4000000000000004</v>
      </c>
      <c r="F130">
        <v>0</v>
      </c>
      <c r="G130">
        <v>0.04</v>
      </c>
      <c r="H130">
        <v>0.14000000000000001</v>
      </c>
      <c r="I130">
        <v>0.1</v>
      </c>
      <c r="J130">
        <v>0.18</v>
      </c>
      <c r="K130">
        <v>60.003999999999998</v>
      </c>
      <c r="L130" s="5" t="s">
        <v>19</v>
      </c>
    </row>
    <row r="131" spans="1:12" hidden="1" x14ac:dyDescent="0.3">
      <c r="A131" s="5" t="s">
        <v>25</v>
      </c>
      <c r="B131" s="6">
        <v>0.81489777777777783</v>
      </c>
      <c r="C131">
        <v>3.26</v>
      </c>
      <c r="D131">
        <v>0.01</v>
      </c>
      <c r="E131">
        <v>4.4000000000000004</v>
      </c>
      <c r="F131">
        <v>0</v>
      </c>
      <c r="G131">
        <v>0.04</v>
      </c>
      <c r="H131">
        <v>0.14000000000000001</v>
      </c>
      <c r="I131">
        <v>0.1</v>
      </c>
      <c r="J131">
        <v>0.18</v>
      </c>
      <c r="K131">
        <v>60.005000000000003</v>
      </c>
      <c r="L131" s="5" t="s">
        <v>19</v>
      </c>
    </row>
    <row r="132" spans="1:12" hidden="1" x14ac:dyDescent="0.3">
      <c r="A132" s="5" t="s">
        <v>25</v>
      </c>
      <c r="B132" s="6">
        <v>0.81490935185185187</v>
      </c>
      <c r="C132">
        <v>3.35</v>
      </c>
      <c r="D132">
        <v>0.01</v>
      </c>
      <c r="E132">
        <v>4.5</v>
      </c>
      <c r="F132">
        <v>0</v>
      </c>
      <c r="G132">
        <v>0.04</v>
      </c>
      <c r="H132">
        <v>0.14000000000000001</v>
      </c>
      <c r="I132">
        <v>0.1</v>
      </c>
      <c r="J132">
        <v>0.18</v>
      </c>
      <c r="K132">
        <v>60.005000000000003</v>
      </c>
      <c r="L132" s="5" t="s">
        <v>19</v>
      </c>
    </row>
    <row r="133" spans="1:12" hidden="1" x14ac:dyDescent="0.3">
      <c r="A133" s="5" t="s">
        <v>25</v>
      </c>
      <c r="B133" s="6">
        <v>0.81492092592592591</v>
      </c>
      <c r="C133">
        <v>3.76</v>
      </c>
      <c r="D133">
        <v>0.01</v>
      </c>
      <c r="E133">
        <v>5.0999999999999996</v>
      </c>
      <c r="F133">
        <v>0</v>
      </c>
      <c r="G133">
        <v>0.04</v>
      </c>
      <c r="H133">
        <v>0.14000000000000001</v>
      </c>
      <c r="I133">
        <v>0.1</v>
      </c>
      <c r="J133">
        <v>0.18</v>
      </c>
      <c r="K133">
        <v>60.006</v>
      </c>
      <c r="L133" s="5" t="s">
        <v>19</v>
      </c>
    </row>
    <row r="134" spans="1:12" hidden="1" x14ac:dyDescent="0.3">
      <c r="A134" s="5" t="s">
        <v>25</v>
      </c>
      <c r="B134" s="6">
        <v>0.81493249999999995</v>
      </c>
      <c r="C134">
        <v>3.75</v>
      </c>
      <c r="D134">
        <v>0.01</v>
      </c>
      <c r="E134">
        <v>5.0999999999999996</v>
      </c>
      <c r="F134">
        <v>0</v>
      </c>
      <c r="G134">
        <v>0.04</v>
      </c>
      <c r="H134">
        <v>0.14000000000000001</v>
      </c>
      <c r="I134">
        <v>0.1</v>
      </c>
      <c r="J134">
        <v>0.18</v>
      </c>
      <c r="K134">
        <v>60.006</v>
      </c>
      <c r="L134" s="5" t="s">
        <v>19</v>
      </c>
    </row>
    <row r="135" spans="1:12" hidden="1" x14ac:dyDescent="0.3">
      <c r="A135" s="5" t="s">
        <v>25</v>
      </c>
      <c r="B135" s="6">
        <v>0.8149440740740741</v>
      </c>
      <c r="C135">
        <v>3.74</v>
      </c>
      <c r="D135">
        <v>0.01</v>
      </c>
      <c r="E135">
        <v>5</v>
      </c>
      <c r="F135">
        <v>0</v>
      </c>
      <c r="G135">
        <v>0.04</v>
      </c>
      <c r="H135">
        <v>0.14000000000000001</v>
      </c>
      <c r="I135">
        <v>0.1</v>
      </c>
      <c r="J135">
        <v>0.18</v>
      </c>
      <c r="K135">
        <v>60.006999999999998</v>
      </c>
      <c r="L135" s="5" t="s">
        <v>19</v>
      </c>
    </row>
    <row r="136" spans="1:12" hidden="1" x14ac:dyDescent="0.3">
      <c r="A136" s="5" t="s">
        <v>25</v>
      </c>
      <c r="B136" s="6">
        <v>0.81495564814814814</v>
      </c>
      <c r="C136">
        <v>3.72</v>
      </c>
      <c r="D136">
        <v>0.01</v>
      </c>
      <c r="E136">
        <v>5</v>
      </c>
      <c r="F136">
        <v>0</v>
      </c>
      <c r="G136">
        <v>0.04</v>
      </c>
      <c r="H136">
        <v>0.14000000000000001</v>
      </c>
      <c r="I136">
        <v>0.1</v>
      </c>
      <c r="J136">
        <v>0.18</v>
      </c>
      <c r="K136">
        <v>60.006999999999998</v>
      </c>
      <c r="L136" s="5" t="s">
        <v>19</v>
      </c>
    </row>
    <row r="137" spans="1:12" hidden="1" x14ac:dyDescent="0.3">
      <c r="A137" s="5" t="s">
        <v>25</v>
      </c>
      <c r="B137" s="6">
        <v>0.81496722222222218</v>
      </c>
      <c r="C137">
        <v>3.82</v>
      </c>
      <c r="D137">
        <v>0.01</v>
      </c>
      <c r="E137">
        <v>5.2</v>
      </c>
      <c r="F137">
        <v>0</v>
      </c>
      <c r="G137">
        <v>0.04</v>
      </c>
      <c r="H137">
        <v>0.14000000000000001</v>
      </c>
      <c r="I137">
        <v>0.1</v>
      </c>
      <c r="J137">
        <v>0.18</v>
      </c>
      <c r="K137">
        <v>60.006999999999998</v>
      </c>
      <c r="L137" s="5" t="s">
        <v>19</v>
      </c>
    </row>
    <row r="138" spans="1:12" hidden="1" x14ac:dyDescent="0.3">
      <c r="A138" s="5" t="s">
        <v>25</v>
      </c>
      <c r="B138" s="6">
        <v>0.81497879629629633</v>
      </c>
      <c r="C138">
        <v>4.32</v>
      </c>
      <c r="D138">
        <v>0.01</v>
      </c>
      <c r="E138">
        <v>6</v>
      </c>
      <c r="F138">
        <v>0</v>
      </c>
      <c r="G138">
        <v>0.04</v>
      </c>
      <c r="H138">
        <v>0.14000000000000001</v>
      </c>
      <c r="I138">
        <v>0.1</v>
      </c>
      <c r="J138">
        <v>0.18</v>
      </c>
      <c r="K138">
        <v>60.006999999999998</v>
      </c>
      <c r="L138" s="5" t="s">
        <v>19</v>
      </c>
    </row>
    <row r="139" spans="1:12" hidden="1" x14ac:dyDescent="0.3">
      <c r="A139" s="5" t="s">
        <v>25</v>
      </c>
      <c r="B139" s="6">
        <v>0.81499037037037037</v>
      </c>
      <c r="C139">
        <v>4.32</v>
      </c>
      <c r="D139">
        <v>0.01</v>
      </c>
      <c r="E139">
        <v>6</v>
      </c>
      <c r="F139">
        <v>0</v>
      </c>
      <c r="G139">
        <v>0.04</v>
      </c>
      <c r="H139">
        <v>0.14000000000000001</v>
      </c>
      <c r="I139">
        <v>0.1</v>
      </c>
      <c r="J139">
        <v>0.18</v>
      </c>
      <c r="K139">
        <v>60.006999999999998</v>
      </c>
      <c r="L139" s="5" t="s">
        <v>19</v>
      </c>
    </row>
    <row r="140" spans="1:12" hidden="1" x14ac:dyDescent="0.3">
      <c r="A140" s="5" t="s">
        <v>25</v>
      </c>
      <c r="B140" s="6">
        <v>0.8150019444444444</v>
      </c>
      <c r="C140">
        <v>4.32</v>
      </c>
      <c r="D140">
        <v>0.01</v>
      </c>
      <c r="E140">
        <v>6</v>
      </c>
      <c r="F140">
        <v>0</v>
      </c>
      <c r="G140">
        <v>0.04</v>
      </c>
      <c r="H140">
        <v>0.14000000000000001</v>
      </c>
      <c r="I140">
        <v>0.1</v>
      </c>
      <c r="J140">
        <v>0.18</v>
      </c>
      <c r="K140">
        <v>60.006999999999998</v>
      </c>
      <c r="L140" s="5" t="s">
        <v>19</v>
      </c>
    </row>
    <row r="141" spans="1:12" hidden="1" x14ac:dyDescent="0.3">
      <c r="A141" s="5" t="s">
        <v>25</v>
      </c>
      <c r="B141" s="6">
        <v>0.81501351851851855</v>
      </c>
      <c r="C141">
        <v>4.32</v>
      </c>
      <c r="D141">
        <v>0.01</v>
      </c>
      <c r="E141">
        <v>6</v>
      </c>
      <c r="F141">
        <v>0</v>
      </c>
      <c r="G141">
        <v>0.04</v>
      </c>
      <c r="H141">
        <v>0.14000000000000001</v>
      </c>
      <c r="I141">
        <v>0.1</v>
      </c>
      <c r="J141">
        <v>0.18</v>
      </c>
      <c r="K141">
        <v>60.006999999999998</v>
      </c>
      <c r="L141" s="5" t="s">
        <v>19</v>
      </c>
    </row>
    <row r="142" spans="1:12" hidden="1" x14ac:dyDescent="0.3">
      <c r="A142" s="5" t="s">
        <v>25</v>
      </c>
      <c r="B142" s="6">
        <v>0.81502509259259259</v>
      </c>
      <c r="C142">
        <v>4.34</v>
      </c>
      <c r="D142">
        <v>0.01</v>
      </c>
      <c r="E142">
        <v>6</v>
      </c>
      <c r="F142">
        <v>0</v>
      </c>
      <c r="G142">
        <v>0.04</v>
      </c>
      <c r="H142">
        <v>0.14000000000000001</v>
      </c>
      <c r="I142">
        <v>0.1</v>
      </c>
      <c r="J142">
        <v>0.18</v>
      </c>
      <c r="K142">
        <v>60.006999999999998</v>
      </c>
      <c r="L142" s="5" t="s">
        <v>19</v>
      </c>
    </row>
    <row r="143" spans="1:12" hidden="1" x14ac:dyDescent="0.3">
      <c r="A143" s="5" t="s">
        <v>25</v>
      </c>
      <c r="B143" s="6">
        <v>0.81503666666666663</v>
      </c>
      <c r="C143">
        <v>4.45</v>
      </c>
      <c r="D143">
        <v>0.01</v>
      </c>
      <c r="E143">
        <v>6.2</v>
      </c>
      <c r="F143">
        <v>0</v>
      </c>
      <c r="G143">
        <v>0.04</v>
      </c>
      <c r="H143">
        <v>0.14000000000000001</v>
      </c>
      <c r="I143">
        <v>0.1</v>
      </c>
      <c r="J143">
        <v>0.18</v>
      </c>
      <c r="K143">
        <v>60.006</v>
      </c>
      <c r="L143" s="5" t="s">
        <v>19</v>
      </c>
    </row>
    <row r="144" spans="1:12" hidden="1" x14ac:dyDescent="0.3">
      <c r="A144" s="5" t="s">
        <v>25</v>
      </c>
      <c r="B144" s="6">
        <v>0.81504824074074078</v>
      </c>
      <c r="C144">
        <v>4.45</v>
      </c>
      <c r="D144">
        <v>0.01</v>
      </c>
      <c r="E144">
        <v>6.2</v>
      </c>
      <c r="F144">
        <v>0</v>
      </c>
      <c r="G144">
        <v>0.04</v>
      </c>
      <c r="H144">
        <v>0.14000000000000001</v>
      </c>
      <c r="I144">
        <v>0.1</v>
      </c>
      <c r="J144">
        <v>0.18</v>
      </c>
      <c r="K144">
        <v>60.006</v>
      </c>
      <c r="L144" s="5" t="s">
        <v>19</v>
      </c>
    </row>
    <row r="145" spans="1:12" hidden="1" x14ac:dyDescent="0.3">
      <c r="A145" s="5" t="s">
        <v>25</v>
      </c>
      <c r="B145" s="6">
        <v>0.81505981481481482</v>
      </c>
      <c r="C145">
        <v>4.45</v>
      </c>
      <c r="D145">
        <v>0.01</v>
      </c>
      <c r="E145">
        <v>6.2</v>
      </c>
      <c r="F145">
        <v>0</v>
      </c>
      <c r="G145">
        <v>0.04</v>
      </c>
      <c r="H145">
        <v>0.14000000000000001</v>
      </c>
      <c r="I145">
        <v>0.1</v>
      </c>
      <c r="J145">
        <v>0.18</v>
      </c>
      <c r="K145">
        <v>60.006</v>
      </c>
      <c r="L145" s="5" t="s">
        <v>19</v>
      </c>
    </row>
    <row r="146" spans="1:12" hidden="1" x14ac:dyDescent="0.3">
      <c r="A146" s="5" t="s">
        <v>25</v>
      </c>
      <c r="B146" s="6">
        <v>0.81507138888888886</v>
      </c>
      <c r="C146">
        <v>4.45</v>
      </c>
      <c r="D146">
        <v>0.01</v>
      </c>
      <c r="E146">
        <v>6.2</v>
      </c>
      <c r="F146">
        <v>0</v>
      </c>
      <c r="G146">
        <v>0.04</v>
      </c>
      <c r="H146">
        <v>0.14000000000000001</v>
      </c>
      <c r="I146">
        <v>0.1</v>
      </c>
      <c r="J146">
        <v>0.18</v>
      </c>
      <c r="K146">
        <v>60.006</v>
      </c>
      <c r="L146" s="5" t="s">
        <v>19</v>
      </c>
    </row>
    <row r="147" spans="1:12" hidden="1" x14ac:dyDescent="0.3">
      <c r="A147" s="5" t="s">
        <v>25</v>
      </c>
      <c r="B147" s="6">
        <v>0.81508296296296301</v>
      </c>
      <c r="C147">
        <v>4.46</v>
      </c>
      <c r="D147">
        <v>0.01</v>
      </c>
      <c r="E147">
        <v>6.2</v>
      </c>
      <c r="F147">
        <v>0</v>
      </c>
      <c r="G147">
        <v>0.04</v>
      </c>
      <c r="H147">
        <v>0.14000000000000001</v>
      </c>
      <c r="I147">
        <v>0.1</v>
      </c>
      <c r="J147">
        <v>0.18</v>
      </c>
      <c r="K147">
        <v>60.006</v>
      </c>
      <c r="L147" s="5" t="s">
        <v>19</v>
      </c>
    </row>
    <row r="148" spans="1:12" hidden="1" x14ac:dyDescent="0.3">
      <c r="A148" s="5" t="s">
        <v>25</v>
      </c>
      <c r="B148" s="6">
        <v>0.81509453703703705</v>
      </c>
      <c r="C148">
        <v>4.54</v>
      </c>
      <c r="D148">
        <v>0.01</v>
      </c>
      <c r="E148">
        <v>6.3</v>
      </c>
      <c r="F148">
        <v>0</v>
      </c>
      <c r="G148">
        <v>0.04</v>
      </c>
      <c r="H148">
        <v>0.14000000000000001</v>
      </c>
      <c r="I148">
        <v>0.1</v>
      </c>
      <c r="J148">
        <v>0.18</v>
      </c>
      <c r="K148">
        <v>60.006</v>
      </c>
      <c r="L148" s="5" t="s">
        <v>19</v>
      </c>
    </row>
    <row r="149" spans="1:12" hidden="1" x14ac:dyDescent="0.3">
      <c r="A149" s="5" t="s">
        <v>25</v>
      </c>
      <c r="B149" s="6">
        <v>0.81510611111111109</v>
      </c>
      <c r="C149">
        <v>4.54</v>
      </c>
      <c r="D149">
        <v>0.01</v>
      </c>
      <c r="E149">
        <v>6.3</v>
      </c>
      <c r="F149">
        <v>0</v>
      </c>
      <c r="G149">
        <v>0.04</v>
      </c>
      <c r="H149">
        <v>0.14000000000000001</v>
      </c>
      <c r="I149">
        <v>0.1</v>
      </c>
      <c r="J149">
        <v>0.18</v>
      </c>
      <c r="K149">
        <v>60.006</v>
      </c>
      <c r="L149" s="5" t="s">
        <v>19</v>
      </c>
    </row>
    <row r="150" spans="1:12" hidden="1" x14ac:dyDescent="0.3">
      <c r="A150" s="5" t="s">
        <v>25</v>
      </c>
      <c r="B150" s="6">
        <v>0.81511768518518524</v>
      </c>
      <c r="C150">
        <v>4.54</v>
      </c>
      <c r="D150">
        <v>0.01</v>
      </c>
      <c r="E150">
        <v>6.3</v>
      </c>
      <c r="F150">
        <v>0</v>
      </c>
      <c r="G150">
        <v>0.04</v>
      </c>
      <c r="H150">
        <v>0.14000000000000001</v>
      </c>
      <c r="I150">
        <v>0.1</v>
      </c>
      <c r="J150">
        <v>0.18</v>
      </c>
      <c r="K150">
        <v>60.006</v>
      </c>
      <c r="L150" s="5" t="s">
        <v>19</v>
      </c>
    </row>
    <row r="151" spans="1:12" hidden="1" x14ac:dyDescent="0.3">
      <c r="A151" s="5" t="s">
        <v>25</v>
      </c>
      <c r="B151" s="6">
        <v>0.81512925925925928</v>
      </c>
      <c r="C151">
        <v>4.54</v>
      </c>
      <c r="D151">
        <v>0.01</v>
      </c>
      <c r="E151">
        <v>6.3</v>
      </c>
      <c r="F151">
        <v>0</v>
      </c>
      <c r="G151">
        <v>0.04</v>
      </c>
      <c r="H151">
        <v>0.14000000000000001</v>
      </c>
      <c r="I151">
        <v>0.1</v>
      </c>
      <c r="J151">
        <v>0.18</v>
      </c>
      <c r="K151">
        <v>60.006</v>
      </c>
      <c r="L151" s="5" t="s">
        <v>19</v>
      </c>
    </row>
    <row r="152" spans="1:12" hidden="1" x14ac:dyDescent="0.3">
      <c r="A152" s="5" t="s">
        <v>25</v>
      </c>
      <c r="B152" s="6">
        <v>0.81514083333333331</v>
      </c>
      <c r="C152">
        <v>4.5599999999999996</v>
      </c>
      <c r="D152">
        <v>0.01</v>
      </c>
      <c r="E152">
        <v>6.4</v>
      </c>
      <c r="F152">
        <v>0</v>
      </c>
      <c r="G152">
        <v>0.04</v>
      </c>
      <c r="H152">
        <v>0.14000000000000001</v>
      </c>
      <c r="I152">
        <v>0.1</v>
      </c>
      <c r="J152">
        <v>0.18</v>
      </c>
      <c r="K152">
        <v>60.006999999999998</v>
      </c>
      <c r="L152" s="5" t="s">
        <v>19</v>
      </c>
    </row>
    <row r="153" spans="1:12" hidden="1" x14ac:dyDescent="0.3">
      <c r="A153" s="5" t="s">
        <v>25</v>
      </c>
      <c r="B153" s="6">
        <v>0.81515240740740735</v>
      </c>
      <c r="C153">
        <v>4.63</v>
      </c>
      <c r="D153">
        <v>0.01</v>
      </c>
      <c r="E153">
        <v>6.5</v>
      </c>
      <c r="F153">
        <v>0</v>
      </c>
      <c r="G153">
        <v>0.04</v>
      </c>
      <c r="H153">
        <v>0.14000000000000001</v>
      </c>
      <c r="I153">
        <v>0.1</v>
      </c>
      <c r="J153">
        <v>0.18</v>
      </c>
      <c r="K153">
        <v>60.006999999999998</v>
      </c>
      <c r="L153" s="5" t="s">
        <v>19</v>
      </c>
    </row>
    <row r="154" spans="1:12" hidden="1" x14ac:dyDescent="0.3">
      <c r="A154" s="5" t="s">
        <v>25</v>
      </c>
      <c r="B154" s="6">
        <v>0.8151639814814815</v>
      </c>
      <c r="C154">
        <v>4.63</v>
      </c>
      <c r="D154">
        <v>0.01</v>
      </c>
      <c r="E154">
        <v>6.5</v>
      </c>
      <c r="F154">
        <v>0</v>
      </c>
      <c r="G154">
        <v>0.04</v>
      </c>
      <c r="H154">
        <v>0.14000000000000001</v>
      </c>
      <c r="I154">
        <v>0.1</v>
      </c>
      <c r="J154">
        <v>0.18</v>
      </c>
      <c r="K154">
        <v>60.006999999999998</v>
      </c>
      <c r="L154" s="5" t="s">
        <v>19</v>
      </c>
    </row>
    <row r="155" spans="1:12" hidden="1" x14ac:dyDescent="0.3">
      <c r="A155" s="5" t="s">
        <v>25</v>
      </c>
      <c r="B155" s="6">
        <v>0.81517555555555554</v>
      </c>
      <c r="C155">
        <v>4.63</v>
      </c>
      <c r="D155">
        <v>0.01</v>
      </c>
      <c r="E155">
        <v>6.5</v>
      </c>
      <c r="F155">
        <v>0</v>
      </c>
      <c r="G155">
        <v>0.04</v>
      </c>
      <c r="H155">
        <v>0.14000000000000001</v>
      </c>
      <c r="I155">
        <v>0.1</v>
      </c>
      <c r="J155">
        <v>0.18</v>
      </c>
      <c r="K155">
        <v>60.006</v>
      </c>
      <c r="L155" s="5" t="s">
        <v>19</v>
      </c>
    </row>
    <row r="156" spans="1:12" hidden="1" x14ac:dyDescent="0.3">
      <c r="A156" s="5" t="s">
        <v>25</v>
      </c>
      <c r="B156" s="6">
        <v>0.81518712962962958</v>
      </c>
      <c r="C156">
        <v>4.63</v>
      </c>
      <c r="D156">
        <v>0.01</v>
      </c>
      <c r="E156">
        <v>6.5</v>
      </c>
      <c r="F156">
        <v>0</v>
      </c>
      <c r="G156">
        <v>0.04</v>
      </c>
      <c r="H156">
        <v>0.14000000000000001</v>
      </c>
      <c r="I156">
        <v>0.1</v>
      </c>
      <c r="J156">
        <v>0.18</v>
      </c>
      <c r="K156">
        <v>60.006</v>
      </c>
      <c r="L156" s="5" t="s">
        <v>19</v>
      </c>
    </row>
    <row r="157" spans="1:12" hidden="1" x14ac:dyDescent="0.3">
      <c r="A157" s="5" t="s">
        <v>25</v>
      </c>
      <c r="B157" s="6">
        <v>0.81519870370370373</v>
      </c>
      <c r="C157">
        <v>4.6500000000000004</v>
      </c>
      <c r="D157">
        <v>0.01</v>
      </c>
      <c r="E157">
        <v>6.5</v>
      </c>
      <c r="F157">
        <v>0</v>
      </c>
      <c r="G157">
        <v>0.04</v>
      </c>
      <c r="H157">
        <v>0.14000000000000001</v>
      </c>
      <c r="I157">
        <v>0.1</v>
      </c>
      <c r="J157">
        <v>0.18</v>
      </c>
      <c r="K157">
        <v>60.006</v>
      </c>
      <c r="L157" s="5" t="s">
        <v>19</v>
      </c>
    </row>
    <row r="158" spans="1:12" hidden="1" x14ac:dyDescent="0.3">
      <c r="A158" s="5" t="s">
        <v>25</v>
      </c>
      <c r="B158" s="6">
        <v>0.81521027777777777</v>
      </c>
      <c r="C158">
        <v>4.78</v>
      </c>
      <c r="D158">
        <v>0.01</v>
      </c>
      <c r="E158">
        <v>6.7</v>
      </c>
      <c r="F158">
        <v>0</v>
      </c>
      <c r="G158">
        <v>0.04</v>
      </c>
      <c r="H158">
        <v>0.14000000000000001</v>
      </c>
      <c r="I158">
        <v>0.1</v>
      </c>
      <c r="J158">
        <v>0.18</v>
      </c>
      <c r="K158">
        <v>60.006</v>
      </c>
      <c r="L158" s="5" t="s">
        <v>19</v>
      </c>
    </row>
    <row r="159" spans="1:12" hidden="1" x14ac:dyDescent="0.3">
      <c r="A159" s="5" t="s">
        <v>25</v>
      </c>
      <c r="B159" s="6">
        <v>0.81522185185185181</v>
      </c>
      <c r="C159">
        <v>4.78</v>
      </c>
      <c r="D159">
        <v>0.01</v>
      </c>
      <c r="E159">
        <v>6.7</v>
      </c>
      <c r="F159">
        <v>0</v>
      </c>
      <c r="G159">
        <v>0.04</v>
      </c>
      <c r="H159">
        <v>0.14000000000000001</v>
      </c>
      <c r="I159">
        <v>0.1</v>
      </c>
      <c r="J159">
        <v>0.18</v>
      </c>
      <c r="K159">
        <v>60.006</v>
      </c>
      <c r="L159" s="5" t="s">
        <v>19</v>
      </c>
    </row>
    <row r="160" spans="1:12" hidden="1" x14ac:dyDescent="0.3">
      <c r="A160" s="5" t="s">
        <v>25</v>
      </c>
      <c r="B160" s="6">
        <v>0.81523342592592596</v>
      </c>
      <c r="C160">
        <v>4.78</v>
      </c>
      <c r="D160">
        <v>0.01</v>
      </c>
      <c r="E160">
        <v>6.7</v>
      </c>
      <c r="F160">
        <v>0</v>
      </c>
      <c r="G160">
        <v>0.04</v>
      </c>
      <c r="H160">
        <v>0.14000000000000001</v>
      </c>
      <c r="I160">
        <v>0.1</v>
      </c>
      <c r="J160">
        <v>0.18</v>
      </c>
      <c r="K160">
        <v>60.006</v>
      </c>
      <c r="L160" s="5" t="s">
        <v>19</v>
      </c>
    </row>
    <row r="161" spans="1:12" hidden="1" x14ac:dyDescent="0.3">
      <c r="A161" s="5" t="s">
        <v>25</v>
      </c>
      <c r="B161" s="6">
        <v>0.815245</v>
      </c>
      <c r="C161">
        <v>4.78</v>
      </c>
      <c r="D161">
        <v>0.01</v>
      </c>
      <c r="E161">
        <v>6.7</v>
      </c>
      <c r="F161">
        <v>0</v>
      </c>
      <c r="G161">
        <v>0.04</v>
      </c>
      <c r="H161">
        <v>0.14000000000000001</v>
      </c>
      <c r="I161">
        <v>0.1</v>
      </c>
      <c r="J161">
        <v>0.18</v>
      </c>
      <c r="K161">
        <v>60.006999999999998</v>
      </c>
      <c r="L161" s="5" t="s">
        <v>19</v>
      </c>
    </row>
    <row r="162" spans="1:12" hidden="1" x14ac:dyDescent="0.3">
      <c r="A162" s="5" t="s">
        <v>25</v>
      </c>
      <c r="B162" s="6">
        <v>0.81525657407407404</v>
      </c>
      <c r="C162">
        <v>4.8</v>
      </c>
      <c r="D162">
        <v>0.01</v>
      </c>
      <c r="E162">
        <v>6.7</v>
      </c>
      <c r="F162">
        <v>0</v>
      </c>
      <c r="G162">
        <v>0.04</v>
      </c>
      <c r="H162">
        <v>0.14000000000000001</v>
      </c>
      <c r="I162">
        <v>0.1</v>
      </c>
      <c r="J162">
        <v>0.18</v>
      </c>
      <c r="K162">
        <v>60.006999999999998</v>
      </c>
      <c r="L162" s="5" t="s">
        <v>19</v>
      </c>
    </row>
    <row r="163" spans="1:12" hidden="1" x14ac:dyDescent="0.3">
      <c r="A163" s="5" t="s">
        <v>25</v>
      </c>
      <c r="B163" s="6">
        <v>0.81526814814814819</v>
      </c>
      <c r="C163">
        <v>4.91</v>
      </c>
      <c r="D163">
        <v>0.01</v>
      </c>
      <c r="E163">
        <v>6.9</v>
      </c>
      <c r="F163">
        <v>0</v>
      </c>
      <c r="G163">
        <v>0.04</v>
      </c>
      <c r="H163">
        <v>0.14000000000000001</v>
      </c>
      <c r="I163">
        <v>0.1</v>
      </c>
      <c r="J163">
        <v>0.18</v>
      </c>
      <c r="K163">
        <v>60.006999999999998</v>
      </c>
      <c r="L163" s="5" t="s">
        <v>19</v>
      </c>
    </row>
    <row r="164" spans="1:12" hidden="1" x14ac:dyDescent="0.3">
      <c r="A164" s="5" t="s">
        <v>25</v>
      </c>
      <c r="B164" s="6">
        <v>0.81527972222222223</v>
      </c>
      <c r="C164">
        <v>4.91</v>
      </c>
      <c r="D164">
        <v>0.01</v>
      </c>
      <c r="E164">
        <v>6.9</v>
      </c>
      <c r="F164">
        <v>0</v>
      </c>
      <c r="G164">
        <v>0.04</v>
      </c>
      <c r="H164">
        <v>0.14000000000000001</v>
      </c>
      <c r="I164">
        <v>0.1</v>
      </c>
      <c r="J164">
        <v>0.18</v>
      </c>
      <c r="K164">
        <v>60.006999999999998</v>
      </c>
      <c r="L164" s="5" t="s">
        <v>19</v>
      </c>
    </row>
    <row r="165" spans="1:12" hidden="1" x14ac:dyDescent="0.3">
      <c r="A165" s="5" t="s">
        <v>25</v>
      </c>
      <c r="B165" s="6">
        <v>0.81529129629629626</v>
      </c>
      <c r="C165">
        <v>4.91</v>
      </c>
      <c r="D165">
        <v>0.01</v>
      </c>
      <c r="E165">
        <v>6.9</v>
      </c>
      <c r="F165">
        <v>0</v>
      </c>
      <c r="G165">
        <v>0.04</v>
      </c>
      <c r="H165">
        <v>0.14000000000000001</v>
      </c>
      <c r="I165">
        <v>0.1</v>
      </c>
      <c r="J165">
        <v>0.18</v>
      </c>
      <c r="K165">
        <v>60.006999999999998</v>
      </c>
      <c r="L165" s="5" t="s">
        <v>19</v>
      </c>
    </row>
    <row r="166" spans="1:12" hidden="1" x14ac:dyDescent="0.3">
      <c r="A166" s="5" t="s">
        <v>25</v>
      </c>
      <c r="B166" s="6">
        <v>0.81530287037037041</v>
      </c>
      <c r="C166">
        <v>4.91</v>
      </c>
      <c r="D166">
        <v>0.01</v>
      </c>
      <c r="E166">
        <v>6.9</v>
      </c>
      <c r="F166">
        <v>0</v>
      </c>
      <c r="G166">
        <v>0.04</v>
      </c>
      <c r="H166">
        <v>0.14000000000000001</v>
      </c>
      <c r="I166">
        <v>0.1</v>
      </c>
      <c r="J166">
        <v>0.18</v>
      </c>
      <c r="K166">
        <v>60.006999999999998</v>
      </c>
      <c r="L166" s="5" t="s">
        <v>19</v>
      </c>
    </row>
    <row r="167" spans="1:12" hidden="1" x14ac:dyDescent="0.3">
      <c r="A167" s="5" t="s">
        <v>25</v>
      </c>
      <c r="B167" s="6">
        <v>0.81531444444444445</v>
      </c>
      <c r="C167">
        <v>4.93</v>
      </c>
      <c r="D167">
        <v>0.01</v>
      </c>
      <c r="E167">
        <v>6.9</v>
      </c>
      <c r="F167">
        <v>0</v>
      </c>
      <c r="G167">
        <v>0.04</v>
      </c>
      <c r="H167">
        <v>0.14000000000000001</v>
      </c>
      <c r="I167">
        <v>0.1</v>
      </c>
      <c r="J167">
        <v>0.18</v>
      </c>
      <c r="K167">
        <v>60.006999999999998</v>
      </c>
      <c r="L167" s="5" t="s">
        <v>19</v>
      </c>
    </row>
    <row r="168" spans="1:12" hidden="1" x14ac:dyDescent="0.3">
      <c r="A168" s="5" t="s">
        <v>25</v>
      </c>
      <c r="B168" s="6">
        <v>0.81532601851851849</v>
      </c>
      <c r="C168">
        <v>5.05</v>
      </c>
      <c r="D168">
        <v>0.01</v>
      </c>
      <c r="E168">
        <v>7.1</v>
      </c>
      <c r="F168">
        <v>0</v>
      </c>
      <c r="G168">
        <v>0.04</v>
      </c>
      <c r="H168">
        <v>0.14000000000000001</v>
      </c>
      <c r="I168">
        <v>0.1</v>
      </c>
      <c r="J168">
        <v>0.18</v>
      </c>
      <c r="K168">
        <v>60.006999999999998</v>
      </c>
      <c r="L168" s="5" t="s">
        <v>19</v>
      </c>
    </row>
    <row r="169" spans="1:12" hidden="1" x14ac:dyDescent="0.3">
      <c r="A169" s="5" t="s">
        <v>25</v>
      </c>
      <c r="B169" s="6">
        <v>0.81533759259259264</v>
      </c>
      <c r="C169">
        <v>5.05</v>
      </c>
      <c r="D169">
        <v>0.01</v>
      </c>
      <c r="E169">
        <v>7.1</v>
      </c>
      <c r="F169">
        <v>0</v>
      </c>
      <c r="G169">
        <v>0.04</v>
      </c>
      <c r="H169">
        <v>0.14000000000000001</v>
      </c>
      <c r="I169">
        <v>0.1</v>
      </c>
      <c r="J169">
        <v>0.18</v>
      </c>
      <c r="K169">
        <v>60.006</v>
      </c>
      <c r="L169" s="5" t="s">
        <v>19</v>
      </c>
    </row>
    <row r="170" spans="1:12" hidden="1" x14ac:dyDescent="0.3">
      <c r="A170" s="5" t="s">
        <v>25</v>
      </c>
      <c r="B170" s="6">
        <v>0.81534916666666668</v>
      </c>
      <c r="C170">
        <v>5.05</v>
      </c>
      <c r="D170">
        <v>0.01</v>
      </c>
      <c r="E170">
        <v>7.1</v>
      </c>
      <c r="F170">
        <v>0</v>
      </c>
      <c r="G170">
        <v>0.04</v>
      </c>
      <c r="H170">
        <v>0.14000000000000001</v>
      </c>
      <c r="I170">
        <v>0.1</v>
      </c>
      <c r="J170">
        <v>0.18</v>
      </c>
      <c r="K170">
        <v>60.006</v>
      </c>
      <c r="L170" s="5" t="s">
        <v>19</v>
      </c>
    </row>
    <row r="171" spans="1:12" hidden="1" x14ac:dyDescent="0.3">
      <c r="A171" s="5" t="s">
        <v>25</v>
      </c>
      <c r="B171" s="6">
        <v>0.81536074074074072</v>
      </c>
      <c r="C171">
        <v>5.05</v>
      </c>
      <c r="D171">
        <v>0.01</v>
      </c>
      <c r="E171">
        <v>7.1</v>
      </c>
      <c r="F171">
        <v>0</v>
      </c>
      <c r="G171">
        <v>0.04</v>
      </c>
      <c r="H171">
        <v>0.14000000000000001</v>
      </c>
      <c r="I171">
        <v>0.1</v>
      </c>
      <c r="J171">
        <v>0.18</v>
      </c>
      <c r="K171">
        <v>60.006</v>
      </c>
      <c r="L171" s="5" t="s">
        <v>19</v>
      </c>
    </row>
    <row r="172" spans="1:12" hidden="1" x14ac:dyDescent="0.3">
      <c r="A172" s="5" t="s">
        <v>25</v>
      </c>
      <c r="B172" s="6">
        <v>0.81537231481481487</v>
      </c>
      <c r="C172">
        <v>5.05</v>
      </c>
      <c r="D172">
        <v>0.01</v>
      </c>
      <c r="E172">
        <v>7.1</v>
      </c>
      <c r="F172">
        <v>0</v>
      </c>
      <c r="G172">
        <v>0.04</v>
      </c>
      <c r="H172">
        <v>0.15</v>
      </c>
      <c r="I172">
        <v>0.1</v>
      </c>
      <c r="J172">
        <v>0.18</v>
      </c>
      <c r="K172">
        <v>60.006</v>
      </c>
      <c r="L172" s="5" t="s">
        <v>19</v>
      </c>
    </row>
    <row r="173" spans="1:12" hidden="1" x14ac:dyDescent="0.3">
      <c r="A173" s="5" t="s">
        <v>25</v>
      </c>
      <c r="B173" s="6">
        <v>0.81538388888888891</v>
      </c>
      <c r="C173">
        <v>5.05</v>
      </c>
      <c r="D173">
        <v>0.01</v>
      </c>
      <c r="E173">
        <v>7.1</v>
      </c>
      <c r="F173">
        <v>0</v>
      </c>
      <c r="G173">
        <v>0.04</v>
      </c>
      <c r="H173">
        <v>0.15</v>
      </c>
      <c r="I173">
        <v>0.1</v>
      </c>
      <c r="J173">
        <v>0.18</v>
      </c>
      <c r="K173">
        <v>60.006</v>
      </c>
      <c r="L173" s="5" t="s">
        <v>19</v>
      </c>
    </row>
    <row r="174" spans="1:12" hidden="1" x14ac:dyDescent="0.3">
      <c r="A174" s="5" t="s">
        <v>25</v>
      </c>
      <c r="B174" s="6">
        <v>0.81539546296296295</v>
      </c>
      <c r="C174">
        <v>5.05</v>
      </c>
      <c r="D174">
        <v>0.01</v>
      </c>
      <c r="E174">
        <v>7.1</v>
      </c>
      <c r="F174">
        <v>0</v>
      </c>
      <c r="G174">
        <v>0.04</v>
      </c>
      <c r="H174">
        <v>0.15</v>
      </c>
      <c r="I174">
        <v>0.1</v>
      </c>
      <c r="J174">
        <v>0.18</v>
      </c>
      <c r="K174">
        <v>60.006</v>
      </c>
      <c r="L174" s="5" t="s">
        <v>19</v>
      </c>
    </row>
    <row r="175" spans="1:12" hidden="1" x14ac:dyDescent="0.3">
      <c r="A175" s="5" t="s">
        <v>25</v>
      </c>
      <c r="B175" s="6">
        <v>0.81540703703703699</v>
      </c>
      <c r="C175">
        <v>5.05</v>
      </c>
      <c r="D175">
        <v>0.01</v>
      </c>
      <c r="E175">
        <v>7.1</v>
      </c>
      <c r="F175">
        <v>0</v>
      </c>
      <c r="G175">
        <v>0.04</v>
      </c>
      <c r="H175">
        <v>0.14000000000000001</v>
      </c>
      <c r="I175">
        <v>0.1</v>
      </c>
      <c r="J175">
        <v>0.18</v>
      </c>
      <c r="K175">
        <v>60.006999999999998</v>
      </c>
      <c r="L175" s="5" t="s">
        <v>19</v>
      </c>
    </row>
    <row r="176" spans="1:12" hidden="1" x14ac:dyDescent="0.3">
      <c r="A176" s="5" t="s">
        <v>25</v>
      </c>
      <c r="B176" s="6">
        <v>0.81541861111111114</v>
      </c>
      <c r="C176">
        <v>5.05</v>
      </c>
      <c r="D176">
        <v>0.01</v>
      </c>
      <c r="E176">
        <v>7.1</v>
      </c>
      <c r="F176">
        <v>0</v>
      </c>
      <c r="G176">
        <v>0.04</v>
      </c>
      <c r="H176">
        <v>0.14000000000000001</v>
      </c>
      <c r="I176">
        <v>0.1</v>
      </c>
      <c r="J176">
        <v>0.18</v>
      </c>
      <c r="K176">
        <v>60.006999999999998</v>
      </c>
      <c r="L176" s="5" t="s">
        <v>19</v>
      </c>
    </row>
    <row r="177" spans="1:12" hidden="1" x14ac:dyDescent="0.3">
      <c r="A177" s="5" t="s">
        <v>25</v>
      </c>
      <c r="B177" s="6">
        <v>0.81543018518518517</v>
      </c>
      <c r="C177">
        <v>5.05</v>
      </c>
      <c r="D177">
        <v>0.01</v>
      </c>
      <c r="E177">
        <v>7.1</v>
      </c>
      <c r="F177">
        <v>0</v>
      </c>
      <c r="G177">
        <v>0.04</v>
      </c>
      <c r="H177">
        <v>0.14000000000000001</v>
      </c>
      <c r="I177">
        <v>0.1</v>
      </c>
      <c r="J177">
        <v>0.18</v>
      </c>
      <c r="K177">
        <v>60.008000000000003</v>
      </c>
      <c r="L177" s="5" t="s">
        <v>19</v>
      </c>
    </row>
    <row r="178" spans="1:12" hidden="1" x14ac:dyDescent="0.3">
      <c r="A178" s="5" t="s">
        <v>25</v>
      </c>
      <c r="B178" s="6">
        <v>0.81544175925925921</v>
      </c>
      <c r="C178">
        <v>5.05</v>
      </c>
      <c r="D178">
        <v>0.01</v>
      </c>
      <c r="E178">
        <v>7.1</v>
      </c>
      <c r="F178">
        <v>0</v>
      </c>
      <c r="G178">
        <v>0.04</v>
      </c>
      <c r="H178">
        <v>0.14000000000000001</v>
      </c>
      <c r="I178">
        <v>0.1</v>
      </c>
      <c r="J178">
        <v>0.18</v>
      </c>
      <c r="K178">
        <v>60.008000000000003</v>
      </c>
      <c r="L178" s="5" t="s">
        <v>19</v>
      </c>
    </row>
    <row r="179" spans="1:12" hidden="1" x14ac:dyDescent="0.3">
      <c r="A179" s="5" t="s">
        <v>25</v>
      </c>
      <c r="B179" s="6">
        <v>0.81545333333333336</v>
      </c>
      <c r="C179">
        <v>5.05</v>
      </c>
      <c r="D179">
        <v>0.01</v>
      </c>
      <c r="E179">
        <v>7.1</v>
      </c>
      <c r="F179">
        <v>0</v>
      </c>
      <c r="G179">
        <v>0.04</v>
      </c>
      <c r="H179">
        <v>0.14000000000000001</v>
      </c>
      <c r="I179">
        <v>0.1</v>
      </c>
      <c r="J179">
        <v>0.18</v>
      </c>
      <c r="K179">
        <v>60.009</v>
      </c>
      <c r="L179" s="5" t="s">
        <v>19</v>
      </c>
    </row>
    <row r="180" spans="1:12" hidden="1" x14ac:dyDescent="0.3">
      <c r="A180" s="5" t="s">
        <v>25</v>
      </c>
      <c r="B180" s="6">
        <v>0.8154649074074074</v>
      </c>
      <c r="C180">
        <v>5.05</v>
      </c>
      <c r="D180">
        <v>0.01</v>
      </c>
      <c r="E180">
        <v>7.1</v>
      </c>
      <c r="F180">
        <v>0</v>
      </c>
      <c r="G180">
        <v>0.04</v>
      </c>
      <c r="H180">
        <v>0.14000000000000001</v>
      </c>
      <c r="I180">
        <v>0.1</v>
      </c>
      <c r="J180">
        <v>0.18</v>
      </c>
      <c r="K180">
        <v>60.009</v>
      </c>
      <c r="L180" s="5" t="s">
        <v>19</v>
      </c>
    </row>
    <row r="181" spans="1:12" hidden="1" x14ac:dyDescent="0.3">
      <c r="A181" s="5" t="s">
        <v>25</v>
      </c>
      <c r="B181" s="6">
        <v>0.81547648148148144</v>
      </c>
      <c r="C181">
        <v>5.05</v>
      </c>
      <c r="D181">
        <v>0.01</v>
      </c>
      <c r="E181">
        <v>7.1</v>
      </c>
      <c r="F181">
        <v>0</v>
      </c>
      <c r="G181">
        <v>0.04</v>
      </c>
      <c r="H181">
        <v>0.14000000000000001</v>
      </c>
      <c r="I181">
        <v>0.1</v>
      </c>
      <c r="J181">
        <v>0.18</v>
      </c>
      <c r="K181">
        <v>60.01</v>
      </c>
      <c r="L181" s="5" t="s">
        <v>19</v>
      </c>
    </row>
    <row r="182" spans="1:12" hidden="1" x14ac:dyDescent="0.3">
      <c r="A182" s="5" t="s">
        <v>25</v>
      </c>
      <c r="B182" s="6">
        <v>0.81548805555555559</v>
      </c>
      <c r="C182">
        <v>5.05</v>
      </c>
      <c r="D182">
        <v>0.01</v>
      </c>
      <c r="E182">
        <v>7.1</v>
      </c>
      <c r="F182">
        <v>0</v>
      </c>
      <c r="G182">
        <v>0.04</v>
      </c>
      <c r="H182">
        <v>0.15</v>
      </c>
      <c r="I182">
        <v>0.1</v>
      </c>
      <c r="J182">
        <v>0.18</v>
      </c>
      <c r="K182">
        <v>60.01</v>
      </c>
      <c r="L182" s="5" t="s">
        <v>19</v>
      </c>
    </row>
    <row r="183" spans="1:12" hidden="1" x14ac:dyDescent="0.3">
      <c r="A183" s="5" t="s">
        <v>25</v>
      </c>
      <c r="B183" s="6">
        <v>0.81549962962962963</v>
      </c>
      <c r="C183">
        <v>5.05</v>
      </c>
      <c r="D183">
        <v>0.01</v>
      </c>
      <c r="E183">
        <v>7.1</v>
      </c>
      <c r="F183">
        <v>0</v>
      </c>
      <c r="G183">
        <v>0.04</v>
      </c>
      <c r="H183">
        <v>0.15</v>
      </c>
      <c r="I183">
        <v>0.1</v>
      </c>
      <c r="J183">
        <v>0.18</v>
      </c>
      <c r="K183">
        <v>60.01</v>
      </c>
      <c r="L183" s="5" t="s">
        <v>19</v>
      </c>
    </row>
    <row r="184" spans="1:12" hidden="1" x14ac:dyDescent="0.3">
      <c r="A184" s="5" t="s">
        <v>25</v>
      </c>
      <c r="B184" s="6">
        <v>0.81551120370370367</v>
      </c>
      <c r="C184">
        <v>5.05</v>
      </c>
      <c r="D184">
        <v>0.01</v>
      </c>
      <c r="E184">
        <v>7.1</v>
      </c>
      <c r="F184">
        <v>0</v>
      </c>
      <c r="G184">
        <v>0.04</v>
      </c>
      <c r="H184">
        <v>0.15</v>
      </c>
      <c r="I184">
        <v>0.1</v>
      </c>
      <c r="J184">
        <v>0.18</v>
      </c>
      <c r="K184">
        <v>60.01</v>
      </c>
      <c r="L184" s="5" t="s">
        <v>19</v>
      </c>
    </row>
    <row r="185" spans="1:12" hidden="1" x14ac:dyDescent="0.3">
      <c r="A185" s="5" t="s">
        <v>25</v>
      </c>
      <c r="B185" s="6">
        <v>0.81552277777777782</v>
      </c>
      <c r="C185">
        <v>5.05</v>
      </c>
      <c r="D185">
        <v>0.01</v>
      </c>
      <c r="E185">
        <v>7.1</v>
      </c>
      <c r="F185">
        <v>0</v>
      </c>
      <c r="G185">
        <v>0.04</v>
      </c>
      <c r="H185">
        <v>0.15</v>
      </c>
      <c r="I185">
        <v>0.1</v>
      </c>
      <c r="J185">
        <v>0.18</v>
      </c>
      <c r="K185">
        <v>60.01</v>
      </c>
      <c r="L185" s="5" t="s">
        <v>19</v>
      </c>
    </row>
    <row r="186" spans="1:12" hidden="1" x14ac:dyDescent="0.3">
      <c r="A186" s="5" t="s">
        <v>25</v>
      </c>
      <c r="B186" s="6">
        <v>0.81553435185185186</v>
      </c>
      <c r="C186">
        <v>5.05</v>
      </c>
      <c r="D186">
        <v>0.01</v>
      </c>
      <c r="E186">
        <v>7.1</v>
      </c>
      <c r="F186">
        <v>0</v>
      </c>
      <c r="G186">
        <v>0.04</v>
      </c>
      <c r="H186">
        <v>0.14000000000000001</v>
      </c>
      <c r="I186">
        <v>0.1</v>
      </c>
      <c r="J186">
        <v>0.18</v>
      </c>
      <c r="K186">
        <v>60.01</v>
      </c>
      <c r="L186" s="5" t="s">
        <v>19</v>
      </c>
    </row>
    <row r="187" spans="1:12" hidden="1" x14ac:dyDescent="0.3">
      <c r="A187" s="5" t="s">
        <v>25</v>
      </c>
      <c r="B187" s="6">
        <v>0.8155459259259259</v>
      </c>
      <c r="C187">
        <v>5.05</v>
      </c>
      <c r="D187">
        <v>0.01</v>
      </c>
      <c r="E187">
        <v>7.1</v>
      </c>
      <c r="F187">
        <v>0</v>
      </c>
      <c r="G187">
        <v>0.04</v>
      </c>
      <c r="H187">
        <v>0.15</v>
      </c>
      <c r="I187">
        <v>0.1</v>
      </c>
      <c r="J187">
        <v>0.18</v>
      </c>
      <c r="K187">
        <v>60.009</v>
      </c>
      <c r="L187" s="5" t="s">
        <v>19</v>
      </c>
    </row>
    <row r="188" spans="1:12" hidden="1" x14ac:dyDescent="0.3">
      <c r="A188" s="5" t="s">
        <v>25</v>
      </c>
      <c r="B188" s="6">
        <v>0.81555750000000005</v>
      </c>
      <c r="C188">
        <v>5.05</v>
      </c>
      <c r="D188">
        <v>0.01</v>
      </c>
      <c r="E188">
        <v>7.1</v>
      </c>
      <c r="F188">
        <v>0</v>
      </c>
      <c r="G188">
        <v>0.04</v>
      </c>
      <c r="H188">
        <v>0.14000000000000001</v>
      </c>
      <c r="I188">
        <v>0.1</v>
      </c>
      <c r="J188">
        <v>0.18</v>
      </c>
      <c r="K188">
        <v>60.009</v>
      </c>
      <c r="L188" s="5" t="s">
        <v>19</v>
      </c>
    </row>
    <row r="189" spans="1:12" hidden="1" x14ac:dyDescent="0.3">
      <c r="A189" s="5" t="s">
        <v>25</v>
      </c>
      <c r="B189" s="6">
        <v>0.81556907407407409</v>
      </c>
      <c r="C189">
        <v>5.05</v>
      </c>
      <c r="D189">
        <v>0.01</v>
      </c>
      <c r="E189">
        <v>7.1</v>
      </c>
      <c r="F189">
        <v>0</v>
      </c>
      <c r="G189">
        <v>0.04</v>
      </c>
      <c r="H189">
        <v>0.14000000000000001</v>
      </c>
      <c r="I189">
        <v>0.1</v>
      </c>
      <c r="J189">
        <v>0.18</v>
      </c>
      <c r="K189">
        <v>60.009</v>
      </c>
      <c r="L189" s="5" t="s">
        <v>19</v>
      </c>
    </row>
    <row r="190" spans="1:12" hidden="1" x14ac:dyDescent="0.3">
      <c r="A190" s="5" t="s">
        <v>25</v>
      </c>
      <c r="B190" s="6">
        <v>0.81558064814814812</v>
      </c>
      <c r="C190">
        <v>5.05</v>
      </c>
      <c r="D190">
        <v>0.01</v>
      </c>
      <c r="E190">
        <v>7.1</v>
      </c>
      <c r="F190">
        <v>0</v>
      </c>
      <c r="G190">
        <v>0.04</v>
      </c>
      <c r="H190">
        <v>0.14000000000000001</v>
      </c>
      <c r="I190">
        <v>0.1</v>
      </c>
      <c r="J190">
        <v>0.18</v>
      </c>
      <c r="K190">
        <v>60.009</v>
      </c>
      <c r="L190" s="5" t="s">
        <v>19</v>
      </c>
    </row>
    <row r="191" spans="1:12" hidden="1" x14ac:dyDescent="0.3">
      <c r="A191" s="5" t="s">
        <v>25</v>
      </c>
      <c r="B191" s="6">
        <v>0.81559222222222227</v>
      </c>
      <c r="C191">
        <v>5.05</v>
      </c>
      <c r="D191">
        <v>0.01</v>
      </c>
      <c r="E191">
        <v>7.1</v>
      </c>
      <c r="F191">
        <v>0</v>
      </c>
      <c r="G191">
        <v>0.04</v>
      </c>
      <c r="H191">
        <v>0.14000000000000001</v>
      </c>
      <c r="I191">
        <v>0.1</v>
      </c>
      <c r="J191">
        <v>0.18</v>
      </c>
      <c r="K191">
        <v>60.009</v>
      </c>
      <c r="L191" s="5" t="s">
        <v>19</v>
      </c>
    </row>
    <row r="192" spans="1:12" hidden="1" x14ac:dyDescent="0.3">
      <c r="A192" s="5" t="s">
        <v>25</v>
      </c>
      <c r="B192" s="6">
        <v>0.81560379629629631</v>
      </c>
      <c r="C192">
        <v>5.05</v>
      </c>
      <c r="D192">
        <v>0.01</v>
      </c>
      <c r="E192">
        <v>7.1</v>
      </c>
      <c r="F192">
        <v>0</v>
      </c>
      <c r="G192">
        <v>0.04</v>
      </c>
      <c r="H192">
        <v>0.14000000000000001</v>
      </c>
      <c r="I192">
        <v>0.1</v>
      </c>
      <c r="J192">
        <v>0.18</v>
      </c>
      <c r="K192">
        <v>60.008000000000003</v>
      </c>
      <c r="L192" s="5" t="s">
        <v>19</v>
      </c>
    </row>
    <row r="193" spans="1:12" hidden="1" x14ac:dyDescent="0.3">
      <c r="A193" s="5" t="s">
        <v>25</v>
      </c>
      <c r="B193" s="6">
        <v>0.81561537037037035</v>
      </c>
      <c r="C193">
        <v>5.05</v>
      </c>
      <c r="D193">
        <v>0.01</v>
      </c>
      <c r="E193">
        <v>7.1</v>
      </c>
      <c r="F193">
        <v>0</v>
      </c>
      <c r="G193">
        <v>0.04</v>
      </c>
      <c r="H193">
        <v>0.14000000000000001</v>
      </c>
      <c r="I193">
        <v>0.1</v>
      </c>
      <c r="J193">
        <v>0.18</v>
      </c>
      <c r="K193">
        <v>60.008000000000003</v>
      </c>
      <c r="L193" s="5" t="s">
        <v>19</v>
      </c>
    </row>
    <row r="194" spans="1:12" hidden="1" x14ac:dyDescent="0.3">
      <c r="A194" s="5" t="s">
        <v>25</v>
      </c>
      <c r="B194" s="6">
        <v>0.81562694444444439</v>
      </c>
      <c r="C194">
        <v>5.05</v>
      </c>
      <c r="D194">
        <v>0.01</v>
      </c>
      <c r="E194">
        <v>7.1</v>
      </c>
      <c r="F194">
        <v>0</v>
      </c>
      <c r="G194">
        <v>0.04</v>
      </c>
      <c r="H194">
        <v>0.14000000000000001</v>
      </c>
      <c r="I194">
        <v>0.1</v>
      </c>
      <c r="J194">
        <v>0.18</v>
      </c>
      <c r="K194">
        <v>60.008000000000003</v>
      </c>
      <c r="L194" s="5" t="s">
        <v>19</v>
      </c>
    </row>
    <row r="195" spans="1:12" hidden="1" x14ac:dyDescent="0.3">
      <c r="A195" s="5" t="s">
        <v>25</v>
      </c>
      <c r="B195" s="6">
        <v>0.81563851851851854</v>
      </c>
      <c r="C195">
        <v>5.05</v>
      </c>
      <c r="D195">
        <v>0.01</v>
      </c>
      <c r="E195">
        <v>7.1</v>
      </c>
      <c r="F195">
        <v>0</v>
      </c>
      <c r="G195">
        <v>0.04</v>
      </c>
      <c r="H195">
        <v>0.14000000000000001</v>
      </c>
      <c r="I195">
        <v>0.1</v>
      </c>
      <c r="J195">
        <v>0.18</v>
      </c>
      <c r="K195">
        <v>60.009</v>
      </c>
      <c r="L195" s="5" t="s">
        <v>19</v>
      </c>
    </row>
    <row r="196" spans="1:12" hidden="1" x14ac:dyDescent="0.3">
      <c r="A196" s="5" t="s">
        <v>25</v>
      </c>
      <c r="B196" s="6">
        <v>0.81565009259259258</v>
      </c>
      <c r="C196">
        <v>5.05</v>
      </c>
      <c r="D196">
        <v>0.01</v>
      </c>
      <c r="E196">
        <v>7.1</v>
      </c>
      <c r="F196">
        <v>0</v>
      </c>
      <c r="G196">
        <v>0.04</v>
      </c>
      <c r="H196">
        <v>0.14000000000000001</v>
      </c>
      <c r="I196">
        <v>0.1</v>
      </c>
      <c r="J196">
        <v>0.18</v>
      </c>
      <c r="K196">
        <v>60.009</v>
      </c>
      <c r="L196" s="5" t="s">
        <v>19</v>
      </c>
    </row>
    <row r="197" spans="1:12" hidden="1" x14ac:dyDescent="0.3">
      <c r="A197" s="5" t="s">
        <v>25</v>
      </c>
      <c r="B197" s="6">
        <v>0.81566166666666662</v>
      </c>
      <c r="C197">
        <v>5.03</v>
      </c>
      <c r="D197">
        <v>0.01</v>
      </c>
      <c r="E197">
        <v>7.1</v>
      </c>
      <c r="F197">
        <v>0</v>
      </c>
      <c r="G197">
        <v>0.04</v>
      </c>
      <c r="H197">
        <v>0.14000000000000001</v>
      </c>
      <c r="I197">
        <v>0.1</v>
      </c>
      <c r="J197">
        <v>0.18</v>
      </c>
      <c r="K197">
        <v>60.009</v>
      </c>
      <c r="L197" s="5" t="s">
        <v>19</v>
      </c>
    </row>
    <row r="198" spans="1:12" hidden="1" x14ac:dyDescent="0.3">
      <c r="A198" s="5" t="s">
        <v>25</v>
      </c>
      <c r="B198" s="6">
        <v>0.81567324074074077</v>
      </c>
      <c r="C198">
        <v>4.9400000000000004</v>
      </c>
      <c r="D198">
        <v>0.01</v>
      </c>
      <c r="E198">
        <v>6.9</v>
      </c>
      <c r="F198">
        <v>0</v>
      </c>
      <c r="G198">
        <v>0.04</v>
      </c>
      <c r="H198">
        <v>0.14000000000000001</v>
      </c>
      <c r="I198">
        <v>0.1</v>
      </c>
      <c r="J198">
        <v>0.18</v>
      </c>
      <c r="K198">
        <v>60.009</v>
      </c>
      <c r="L198" s="5" t="s">
        <v>19</v>
      </c>
    </row>
    <row r="199" spans="1:12" hidden="1" x14ac:dyDescent="0.3">
      <c r="A199" s="5" t="s">
        <v>25</v>
      </c>
      <c r="B199" s="6">
        <v>0.81568481481481481</v>
      </c>
      <c r="C199">
        <v>4.9400000000000004</v>
      </c>
      <c r="D199">
        <v>0.01</v>
      </c>
      <c r="E199">
        <v>6.9</v>
      </c>
      <c r="F199">
        <v>0</v>
      </c>
      <c r="G199">
        <v>0.04</v>
      </c>
      <c r="H199">
        <v>0.14000000000000001</v>
      </c>
      <c r="I199">
        <v>0.1</v>
      </c>
      <c r="J199">
        <v>0.18</v>
      </c>
      <c r="K199">
        <v>60.009</v>
      </c>
      <c r="L199" s="5" t="s">
        <v>19</v>
      </c>
    </row>
    <row r="200" spans="1:12" hidden="1" x14ac:dyDescent="0.3">
      <c r="A200" s="5" t="s">
        <v>25</v>
      </c>
      <c r="B200" s="6">
        <v>0.81569638888888885</v>
      </c>
      <c r="C200">
        <v>4.9400000000000004</v>
      </c>
      <c r="D200">
        <v>0.01</v>
      </c>
      <c r="E200">
        <v>6.9</v>
      </c>
      <c r="F200">
        <v>0</v>
      </c>
      <c r="G200">
        <v>0.04</v>
      </c>
      <c r="H200">
        <v>0.15</v>
      </c>
      <c r="I200">
        <v>0.1</v>
      </c>
      <c r="J200">
        <v>0.18</v>
      </c>
      <c r="K200">
        <v>60.009</v>
      </c>
      <c r="L200" s="5" t="s">
        <v>19</v>
      </c>
    </row>
    <row r="201" spans="1:12" hidden="1" x14ac:dyDescent="0.3">
      <c r="A201" s="5" t="s">
        <v>25</v>
      </c>
      <c r="B201" s="6">
        <v>0.815707962962963</v>
      </c>
      <c r="C201">
        <v>4.9400000000000004</v>
      </c>
      <c r="D201">
        <v>0.01</v>
      </c>
      <c r="E201">
        <v>6.9</v>
      </c>
      <c r="F201">
        <v>0</v>
      </c>
      <c r="G201">
        <v>0.04</v>
      </c>
      <c r="H201">
        <v>0.14000000000000001</v>
      </c>
      <c r="I201">
        <v>0.1</v>
      </c>
      <c r="J201">
        <v>0.18</v>
      </c>
      <c r="K201">
        <v>60.009</v>
      </c>
      <c r="L201" s="5" t="s">
        <v>19</v>
      </c>
    </row>
    <row r="202" spans="1:12" hidden="1" x14ac:dyDescent="0.3">
      <c r="A202" s="5" t="s">
        <v>25</v>
      </c>
      <c r="B202" s="6">
        <v>0.81571953703703703</v>
      </c>
      <c r="C202">
        <v>4.9400000000000004</v>
      </c>
      <c r="D202">
        <v>0.01</v>
      </c>
      <c r="E202">
        <v>6.9</v>
      </c>
      <c r="F202">
        <v>0</v>
      </c>
      <c r="G202">
        <v>0.04</v>
      </c>
      <c r="H202">
        <v>0.14000000000000001</v>
      </c>
      <c r="I202">
        <v>0.1</v>
      </c>
      <c r="J202">
        <v>0.18</v>
      </c>
      <c r="K202">
        <v>60.009</v>
      </c>
      <c r="L202" s="5" t="s">
        <v>19</v>
      </c>
    </row>
    <row r="203" spans="1:12" hidden="1" x14ac:dyDescent="0.3">
      <c r="A203" s="5" t="s">
        <v>25</v>
      </c>
      <c r="B203" s="6">
        <v>0.81573111111111107</v>
      </c>
      <c r="C203">
        <v>4.92</v>
      </c>
      <c r="D203">
        <v>0.01</v>
      </c>
      <c r="E203">
        <v>6.9</v>
      </c>
      <c r="F203">
        <v>0</v>
      </c>
      <c r="G203">
        <v>0.04</v>
      </c>
      <c r="H203">
        <v>0.14000000000000001</v>
      </c>
      <c r="I203">
        <v>0.1</v>
      </c>
      <c r="J203">
        <v>0.18</v>
      </c>
      <c r="K203">
        <v>60.008000000000003</v>
      </c>
      <c r="L203" s="5" t="s">
        <v>19</v>
      </c>
    </row>
    <row r="204" spans="1:12" hidden="1" x14ac:dyDescent="0.3">
      <c r="A204" s="5" t="s">
        <v>25</v>
      </c>
      <c r="B204" s="6">
        <v>0.81574268518518522</v>
      </c>
      <c r="C204">
        <v>4.92</v>
      </c>
      <c r="D204">
        <v>0.01</v>
      </c>
      <c r="E204">
        <v>6.9</v>
      </c>
      <c r="F204">
        <v>0</v>
      </c>
      <c r="G204">
        <v>0.04</v>
      </c>
      <c r="H204">
        <v>0.14000000000000001</v>
      </c>
      <c r="I204">
        <v>0.1</v>
      </c>
      <c r="J204">
        <v>0.18</v>
      </c>
      <c r="K204">
        <v>60.008000000000003</v>
      </c>
      <c r="L204" s="5" t="s">
        <v>19</v>
      </c>
    </row>
    <row r="205" spans="1:12" hidden="1" x14ac:dyDescent="0.3">
      <c r="A205" s="5" t="s">
        <v>25</v>
      </c>
      <c r="B205" s="6">
        <v>0.81575425925925926</v>
      </c>
      <c r="C205">
        <v>4.92</v>
      </c>
      <c r="D205">
        <v>0.01</v>
      </c>
      <c r="E205">
        <v>6.9</v>
      </c>
      <c r="F205">
        <v>0</v>
      </c>
      <c r="G205">
        <v>0.04</v>
      </c>
      <c r="H205">
        <v>0.14000000000000001</v>
      </c>
      <c r="I205">
        <v>0.1</v>
      </c>
      <c r="J205">
        <v>0.18</v>
      </c>
      <c r="K205">
        <v>60.006999999999998</v>
      </c>
      <c r="L205" s="5" t="s">
        <v>19</v>
      </c>
    </row>
    <row r="206" spans="1:12" hidden="1" x14ac:dyDescent="0.3">
      <c r="A206" s="5" t="s">
        <v>25</v>
      </c>
      <c r="B206" s="6">
        <v>0.8157658333333333</v>
      </c>
      <c r="C206">
        <v>4.92</v>
      </c>
      <c r="D206">
        <v>0.01</v>
      </c>
      <c r="E206">
        <v>6.9</v>
      </c>
      <c r="F206">
        <v>0</v>
      </c>
      <c r="G206">
        <v>0.04</v>
      </c>
      <c r="H206">
        <v>0.14000000000000001</v>
      </c>
      <c r="I206">
        <v>0.1</v>
      </c>
      <c r="J206">
        <v>0.18</v>
      </c>
      <c r="K206">
        <v>60.006999999999998</v>
      </c>
      <c r="L206" s="5" t="s">
        <v>19</v>
      </c>
    </row>
    <row r="207" spans="1:12" hidden="1" x14ac:dyDescent="0.3">
      <c r="A207" s="5" t="s">
        <v>25</v>
      </c>
      <c r="B207" s="6">
        <v>0.81577740740740745</v>
      </c>
      <c r="C207">
        <v>4.83</v>
      </c>
      <c r="D207">
        <v>0.01</v>
      </c>
      <c r="E207">
        <v>6.9</v>
      </c>
      <c r="F207">
        <v>0</v>
      </c>
      <c r="G207">
        <v>0.04</v>
      </c>
      <c r="H207">
        <v>0.14000000000000001</v>
      </c>
      <c r="I207">
        <v>0.1</v>
      </c>
      <c r="J207">
        <v>0.18</v>
      </c>
      <c r="K207">
        <v>60.006</v>
      </c>
      <c r="L207" s="5" t="s">
        <v>19</v>
      </c>
    </row>
    <row r="208" spans="1:12" hidden="1" x14ac:dyDescent="0.3">
      <c r="A208" s="5" t="s">
        <v>25</v>
      </c>
      <c r="B208" s="6">
        <v>0.81578898148148149</v>
      </c>
      <c r="C208">
        <v>4.3</v>
      </c>
      <c r="D208">
        <v>0.01</v>
      </c>
      <c r="E208">
        <v>6</v>
      </c>
      <c r="F208">
        <v>0</v>
      </c>
      <c r="G208">
        <v>0.04</v>
      </c>
      <c r="H208">
        <v>0.14000000000000001</v>
      </c>
      <c r="I208">
        <v>0.1</v>
      </c>
      <c r="J208">
        <v>0.18</v>
      </c>
      <c r="K208">
        <v>60.006</v>
      </c>
      <c r="L208" s="5" t="s">
        <v>19</v>
      </c>
    </row>
    <row r="209" spans="1:12" hidden="1" x14ac:dyDescent="0.3">
      <c r="A209" s="5" t="s">
        <v>25</v>
      </c>
      <c r="B209" s="6">
        <v>0.81580055555555553</v>
      </c>
      <c r="C209">
        <v>4.3</v>
      </c>
      <c r="D209">
        <v>0.01</v>
      </c>
      <c r="E209">
        <v>6</v>
      </c>
      <c r="F209">
        <v>0</v>
      </c>
      <c r="G209">
        <v>0.04</v>
      </c>
      <c r="H209">
        <v>0.14000000000000001</v>
      </c>
      <c r="I209">
        <v>0.1</v>
      </c>
      <c r="J209">
        <v>0.18</v>
      </c>
      <c r="K209">
        <v>60.006</v>
      </c>
      <c r="L209" s="5" t="s">
        <v>19</v>
      </c>
    </row>
    <row r="210" spans="1:12" hidden="1" x14ac:dyDescent="0.3">
      <c r="A210" s="5" t="s">
        <v>25</v>
      </c>
      <c r="B210" s="6">
        <v>0.81581212962962968</v>
      </c>
      <c r="C210">
        <v>4.3</v>
      </c>
      <c r="D210">
        <v>0.01</v>
      </c>
      <c r="E210">
        <v>6</v>
      </c>
      <c r="F210">
        <v>0</v>
      </c>
      <c r="G210">
        <v>0.04</v>
      </c>
      <c r="H210">
        <v>0.14000000000000001</v>
      </c>
      <c r="I210">
        <v>0.1</v>
      </c>
      <c r="J210">
        <v>0.18</v>
      </c>
      <c r="K210">
        <v>60.005000000000003</v>
      </c>
      <c r="L210" s="5" t="s">
        <v>19</v>
      </c>
    </row>
    <row r="211" spans="1:12" hidden="1" x14ac:dyDescent="0.3">
      <c r="A211" s="5" t="s">
        <v>25</v>
      </c>
      <c r="B211" s="6">
        <v>0.81582370370370372</v>
      </c>
      <c r="C211">
        <v>4.3</v>
      </c>
      <c r="D211">
        <v>0.01</v>
      </c>
      <c r="E211">
        <v>6</v>
      </c>
      <c r="F211">
        <v>0</v>
      </c>
      <c r="G211">
        <v>0.04</v>
      </c>
      <c r="H211">
        <v>0.14000000000000001</v>
      </c>
      <c r="I211">
        <v>0.1</v>
      </c>
      <c r="J211">
        <v>0.18</v>
      </c>
      <c r="K211">
        <v>60.005000000000003</v>
      </c>
      <c r="L211" s="5" t="s">
        <v>19</v>
      </c>
    </row>
    <row r="212" spans="1:12" hidden="1" x14ac:dyDescent="0.3">
      <c r="A212" s="5" t="s">
        <v>25</v>
      </c>
      <c r="B212" s="6">
        <v>0.81583527777777776</v>
      </c>
      <c r="C212">
        <v>4.22</v>
      </c>
      <c r="D212">
        <v>0.01</v>
      </c>
      <c r="E212">
        <v>6</v>
      </c>
      <c r="F212">
        <v>0</v>
      </c>
      <c r="G212">
        <v>0.04</v>
      </c>
      <c r="H212">
        <v>0.14000000000000001</v>
      </c>
      <c r="I212">
        <v>0.1</v>
      </c>
      <c r="J212">
        <v>0.18</v>
      </c>
      <c r="K212">
        <v>60.005000000000003</v>
      </c>
      <c r="L212" s="5" t="s">
        <v>19</v>
      </c>
    </row>
    <row r="213" spans="1:12" hidden="1" x14ac:dyDescent="0.3">
      <c r="A213" s="5" t="s">
        <v>25</v>
      </c>
      <c r="B213" s="6">
        <v>0.81584685185185191</v>
      </c>
      <c r="C213">
        <v>3.7</v>
      </c>
      <c r="D213">
        <v>0.01</v>
      </c>
      <c r="E213">
        <v>5</v>
      </c>
      <c r="F213">
        <v>0</v>
      </c>
      <c r="G213">
        <v>0.04</v>
      </c>
      <c r="H213">
        <v>0.14000000000000001</v>
      </c>
      <c r="I213">
        <v>0.1</v>
      </c>
      <c r="J213">
        <v>0.18</v>
      </c>
      <c r="K213">
        <v>60.005000000000003</v>
      </c>
      <c r="L213" s="5" t="s">
        <v>19</v>
      </c>
    </row>
    <row r="214" spans="1:12" hidden="1" x14ac:dyDescent="0.3">
      <c r="A214" s="5" t="s">
        <v>25</v>
      </c>
      <c r="B214" s="6">
        <v>0.81585842592592595</v>
      </c>
      <c r="C214">
        <v>3.7</v>
      </c>
      <c r="D214">
        <v>0.01</v>
      </c>
      <c r="E214">
        <v>5</v>
      </c>
      <c r="F214">
        <v>0</v>
      </c>
      <c r="G214">
        <v>0.04</v>
      </c>
      <c r="H214">
        <v>0.14000000000000001</v>
      </c>
      <c r="I214">
        <v>0.1</v>
      </c>
      <c r="J214">
        <v>0.18</v>
      </c>
      <c r="K214">
        <v>60.005000000000003</v>
      </c>
      <c r="L214" s="5" t="s">
        <v>19</v>
      </c>
    </row>
    <row r="215" spans="1:12" hidden="1" x14ac:dyDescent="0.3">
      <c r="A215" s="5" t="s">
        <v>25</v>
      </c>
      <c r="B215" s="6">
        <v>0.81586999999999998</v>
      </c>
      <c r="C215">
        <v>3.7</v>
      </c>
      <c r="D215">
        <v>0.01</v>
      </c>
      <c r="E215">
        <v>5</v>
      </c>
      <c r="F215">
        <v>0</v>
      </c>
      <c r="G215">
        <v>0.04</v>
      </c>
      <c r="H215">
        <v>0.14000000000000001</v>
      </c>
      <c r="I215">
        <v>0.1</v>
      </c>
      <c r="J215">
        <v>0.18</v>
      </c>
      <c r="K215">
        <v>60.006</v>
      </c>
      <c r="L215" s="5" t="s">
        <v>19</v>
      </c>
    </row>
    <row r="216" spans="1:12" hidden="1" x14ac:dyDescent="0.3">
      <c r="A216" s="5" t="s">
        <v>25</v>
      </c>
      <c r="B216" s="6">
        <v>0.81588157407407402</v>
      </c>
      <c r="C216">
        <v>3.7</v>
      </c>
      <c r="D216">
        <v>0.01</v>
      </c>
      <c r="E216">
        <v>5</v>
      </c>
      <c r="F216">
        <v>0</v>
      </c>
      <c r="G216">
        <v>0.04</v>
      </c>
      <c r="H216">
        <v>0.14000000000000001</v>
      </c>
      <c r="I216">
        <v>0.1</v>
      </c>
      <c r="J216">
        <v>0.18</v>
      </c>
      <c r="K216">
        <v>60.006</v>
      </c>
      <c r="L216" s="5" t="s">
        <v>19</v>
      </c>
    </row>
    <row r="217" spans="1:12" hidden="1" x14ac:dyDescent="0.3">
      <c r="A217" s="5" t="s">
        <v>25</v>
      </c>
      <c r="B217" s="6">
        <v>0.81589314814814817</v>
      </c>
      <c r="C217">
        <v>3.64</v>
      </c>
      <c r="D217">
        <v>0.01</v>
      </c>
      <c r="E217">
        <v>5</v>
      </c>
      <c r="F217">
        <v>0</v>
      </c>
      <c r="G217">
        <v>0.04</v>
      </c>
      <c r="H217">
        <v>0.14000000000000001</v>
      </c>
      <c r="I217">
        <v>0.1</v>
      </c>
      <c r="J217">
        <v>0.18</v>
      </c>
      <c r="K217">
        <v>60.006</v>
      </c>
      <c r="L217" s="5" t="s">
        <v>19</v>
      </c>
    </row>
    <row r="218" spans="1:12" hidden="1" x14ac:dyDescent="0.3">
      <c r="A218" s="5" t="s">
        <v>25</v>
      </c>
      <c r="B218" s="6">
        <v>0.81590472222222221</v>
      </c>
      <c r="C218">
        <v>3.25</v>
      </c>
      <c r="D218">
        <v>0.01</v>
      </c>
      <c r="E218">
        <v>4.3</v>
      </c>
      <c r="F218">
        <v>0</v>
      </c>
      <c r="G218">
        <v>0.04</v>
      </c>
      <c r="H218">
        <v>0.14000000000000001</v>
      </c>
      <c r="I218">
        <v>0.1</v>
      </c>
      <c r="J218">
        <v>0.18</v>
      </c>
      <c r="K218">
        <v>60.006</v>
      </c>
      <c r="L218" s="5" t="s">
        <v>19</v>
      </c>
    </row>
    <row r="219" spans="1:12" hidden="1" x14ac:dyDescent="0.3">
      <c r="A219" s="5" t="s">
        <v>25</v>
      </c>
      <c r="B219" s="6">
        <v>0.81591629629629625</v>
      </c>
      <c r="C219">
        <v>3.25</v>
      </c>
      <c r="D219">
        <v>0.01</v>
      </c>
      <c r="E219">
        <v>4.3</v>
      </c>
      <c r="F219">
        <v>0</v>
      </c>
      <c r="G219">
        <v>0.04</v>
      </c>
      <c r="H219">
        <v>0.14000000000000001</v>
      </c>
      <c r="I219">
        <v>0.1</v>
      </c>
      <c r="J219">
        <v>0.18</v>
      </c>
      <c r="K219">
        <v>60.006999999999998</v>
      </c>
      <c r="L219" s="5" t="s">
        <v>19</v>
      </c>
    </row>
    <row r="220" spans="1:12" hidden="1" x14ac:dyDescent="0.3">
      <c r="A220" s="5" t="s">
        <v>25</v>
      </c>
      <c r="B220" s="6">
        <v>0.8159278703703704</v>
      </c>
      <c r="C220">
        <v>3.25</v>
      </c>
      <c r="D220">
        <v>0.01</v>
      </c>
      <c r="E220">
        <v>4.3</v>
      </c>
      <c r="F220">
        <v>0</v>
      </c>
      <c r="G220">
        <v>0.04</v>
      </c>
      <c r="H220">
        <v>0.14000000000000001</v>
      </c>
      <c r="I220">
        <v>0.1</v>
      </c>
      <c r="J220">
        <v>0.18</v>
      </c>
      <c r="K220">
        <v>60.006999999999998</v>
      </c>
      <c r="L220" s="5" t="s">
        <v>19</v>
      </c>
    </row>
    <row r="221" spans="1:12" hidden="1" x14ac:dyDescent="0.3">
      <c r="A221" s="5" t="s">
        <v>25</v>
      </c>
      <c r="B221" s="6">
        <v>0.81593944444444444</v>
      </c>
      <c r="C221">
        <v>3.26</v>
      </c>
      <c r="D221">
        <v>0.01</v>
      </c>
      <c r="E221">
        <v>4.3</v>
      </c>
      <c r="F221">
        <v>0</v>
      </c>
      <c r="G221">
        <v>0.04</v>
      </c>
      <c r="H221">
        <v>0.14000000000000001</v>
      </c>
      <c r="I221">
        <v>0.1</v>
      </c>
      <c r="J221">
        <v>0.18</v>
      </c>
      <c r="K221">
        <v>60.006999999999998</v>
      </c>
      <c r="L221" s="5" t="s">
        <v>19</v>
      </c>
    </row>
    <row r="222" spans="1:12" hidden="1" x14ac:dyDescent="0.3">
      <c r="A222" s="5" t="s">
        <v>25</v>
      </c>
      <c r="B222" s="6">
        <v>0.81595101851851848</v>
      </c>
      <c r="C222">
        <v>3.25</v>
      </c>
      <c r="D222">
        <v>0.01</v>
      </c>
      <c r="E222">
        <v>4.3</v>
      </c>
      <c r="F222">
        <v>0</v>
      </c>
      <c r="G222">
        <v>0.04</v>
      </c>
      <c r="H222">
        <v>0.14000000000000001</v>
      </c>
      <c r="I222">
        <v>0.1</v>
      </c>
      <c r="J222">
        <v>0.18</v>
      </c>
      <c r="K222">
        <v>60.006999999999998</v>
      </c>
      <c r="L222" s="5" t="s">
        <v>19</v>
      </c>
    </row>
    <row r="223" spans="1:12" hidden="1" x14ac:dyDescent="0.3">
      <c r="A223" s="5" t="s">
        <v>25</v>
      </c>
      <c r="B223" s="6">
        <v>0.81596259259259263</v>
      </c>
      <c r="C223">
        <v>3.23</v>
      </c>
      <c r="D223">
        <v>0.01</v>
      </c>
      <c r="E223">
        <v>4.3</v>
      </c>
      <c r="F223">
        <v>0</v>
      </c>
      <c r="G223">
        <v>0.04</v>
      </c>
      <c r="H223">
        <v>0.14000000000000001</v>
      </c>
      <c r="I223">
        <v>0.1</v>
      </c>
      <c r="J223">
        <v>0.18</v>
      </c>
      <c r="K223">
        <v>60.006999999999998</v>
      </c>
      <c r="L223" s="5" t="s">
        <v>19</v>
      </c>
    </row>
    <row r="224" spans="1:12" hidden="1" x14ac:dyDescent="0.3">
      <c r="A224" s="5" t="s">
        <v>25</v>
      </c>
      <c r="B224" s="6">
        <v>0.81597416666666667</v>
      </c>
      <c r="C224">
        <v>3.24</v>
      </c>
      <c r="D224">
        <v>0.01</v>
      </c>
      <c r="E224">
        <v>4.3</v>
      </c>
      <c r="F224">
        <v>0</v>
      </c>
      <c r="G224">
        <v>0.04</v>
      </c>
      <c r="H224">
        <v>0.14000000000000001</v>
      </c>
      <c r="I224">
        <v>0.1</v>
      </c>
      <c r="J224">
        <v>0.18</v>
      </c>
      <c r="K224">
        <v>60.006999999999998</v>
      </c>
      <c r="L224" s="5" t="s">
        <v>19</v>
      </c>
    </row>
    <row r="225" spans="1:12" hidden="1" x14ac:dyDescent="0.3">
      <c r="A225" s="5" t="s">
        <v>25</v>
      </c>
      <c r="B225" s="6">
        <v>0.81598574074074071</v>
      </c>
      <c r="C225">
        <v>3.24</v>
      </c>
      <c r="D225">
        <v>0.01</v>
      </c>
      <c r="E225">
        <v>4.3</v>
      </c>
      <c r="F225">
        <v>0</v>
      </c>
      <c r="G225">
        <v>0.04</v>
      </c>
      <c r="H225">
        <v>0.14000000000000001</v>
      </c>
      <c r="I225">
        <v>0.1</v>
      </c>
      <c r="J225">
        <v>0.18</v>
      </c>
      <c r="K225">
        <v>60.006</v>
      </c>
      <c r="L225" s="5" t="s">
        <v>19</v>
      </c>
    </row>
    <row r="226" spans="1:12" hidden="1" x14ac:dyDescent="0.3">
      <c r="A226" s="5" t="s">
        <v>25</v>
      </c>
      <c r="B226" s="6">
        <v>0.81599731481481486</v>
      </c>
      <c r="C226">
        <v>3.23</v>
      </c>
      <c r="D226">
        <v>0.01</v>
      </c>
      <c r="E226">
        <v>4.3</v>
      </c>
      <c r="F226">
        <v>0</v>
      </c>
      <c r="G226">
        <v>0.04</v>
      </c>
      <c r="H226">
        <v>0.14000000000000001</v>
      </c>
      <c r="I226">
        <v>0.1</v>
      </c>
      <c r="J226">
        <v>0.18</v>
      </c>
      <c r="K226">
        <v>60.006</v>
      </c>
      <c r="L226" s="5" t="s">
        <v>19</v>
      </c>
    </row>
    <row r="227" spans="1:12" hidden="1" x14ac:dyDescent="0.3">
      <c r="A227" s="5" t="s">
        <v>25</v>
      </c>
      <c r="B227" s="6">
        <v>0.81600888888888889</v>
      </c>
      <c r="C227">
        <v>3.24</v>
      </c>
      <c r="D227">
        <v>0.01</v>
      </c>
      <c r="E227">
        <v>4.3</v>
      </c>
      <c r="F227">
        <v>0</v>
      </c>
      <c r="G227">
        <v>0.04</v>
      </c>
      <c r="H227">
        <v>0.14000000000000001</v>
      </c>
      <c r="I227">
        <v>0.1</v>
      </c>
      <c r="J227">
        <v>0.18</v>
      </c>
      <c r="K227">
        <v>60.005000000000003</v>
      </c>
      <c r="L227" s="5" t="s">
        <v>19</v>
      </c>
    </row>
    <row r="228" spans="1:12" hidden="1" x14ac:dyDescent="0.3">
      <c r="A228" s="5" t="s">
        <v>25</v>
      </c>
      <c r="B228" s="6">
        <v>0.81602046296296293</v>
      </c>
      <c r="C228">
        <v>3.2</v>
      </c>
      <c r="D228">
        <v>0.01</v>
      </c>
      <c r="E228">
        <v>4.3</v>
      </c>
      <c r="F228">
        <v>0</v>
      </c>
      <c r="G228">
        <v>0.04</v>
      </c>
      <c r="H228">
        <v>0.14000000000000001</v>
      </c>
      <c r="I228">
        <v>0.1</v>
      </c>
      <c r="J228">
        <v>0.18</v>
      </c>
      <c r="K228">
        <v>60.003999999999998</v>
      </c>
      <c r="L228" s="5" t="s">
        <v>19</v>
      </c>
    </row>
    <row r="229" spans="1:12" hidden="1" x14ac:dyDescent="0.3">
      <c r="A229" s="5" t="s">
        <v>25</v>
      </c>
      <c r="B229" s="6">
        <v>0.81603203703703708</v>
      </c>
      <c r="C229">
        <v>3.45</v>
      </c>
      <c r="D229">
        <v>0.01</v>
      </c>
      <c r="E229">
        <v>4.8</v>
      </c>
      <c r="F229">
        <v>0</v>
      </c>
      <c r="G229">
        <v>0.04</v>
      </c>
      <c r="H229">
        <v>0.14000000000000001</v>
      </c>
      <c r="I229">
        <v>0.1</v>
      </c>
      <c r="J229">
        <v>0.18</v>
      </c>
      <c r="K229">
        <v>60.003</v>
      </c>
      <c r="L229" s="5" t="s">
        <v>19</v>
      </c>
    </row>
    <row r="230" spans="1:12" hidden="1" x14ac:dyDescent="0.3">
      <c r="A230" s="5" t="s">
        <v>25</v>
      </c>
      <c r="B230" s="6">
        <v>0.81604361111111112</v>
      </c>
      <c r="C230">
        <v>3.59</v>
      </c>
      <c r="D230">
        <v>0.01</v>
      </c>
      <c r="E230">
        <v>4.8</v>
      </c>
      <c r="F230">
        <v>0</v>
      </c>
      <c r="G230">
        <v>0.04</v>
      </c>
      <c r="H230">
        <v>0.14000000000000001</v>
      </c>
      <c r="I230">
        <v>0.1</v>
      </c>
      <c r="J230">
        <v>0.18</v>
      </c>
      <c r="K230">
        <v>60.003</v>
      </c>
      <c r="L230" s="5" t="s">
        <v>19</v>
      </c>
    </row>
    <row r="231" spans="1:12" hidden="1" x14ac:dyDescent="0.3">
      <c r="A231" s="5" t="s">
        <v>25</v>
      </c>
      <c r="B231" s="6">
        <v>0.81605518518518516</v>
      </c>
      <c r="C231">
        <v>3.58</v>
      </c>
      <c r="D231">
        <v>0.01</v>
      </c>
      <c r="E231">
        <v>4.8</v>
      </c>
      <c r="F231">
        <v>0</v>
      </c>
      <c r="G231">
        <v>0.04</v>
      </c>
      <c r="H231">
        <v>0.14000000000000001</v>
      </c>
      <c r="I231">
        <v>0.1</v>
      </c>
      <c r="J231">
        <v>0.18</v>
      </c>
      <c r="K231">
        <v>60.002000000000002</v>
      </c>
      <c r="L231" s="5" t="s">
        <v>19</v>
      </c>
    </row>
    <row r="232" spans="1:12" hidden="1" x14ac:dyDescent="0.3">
      <c r="A232" s="5" t="s">
        <v>25</v>
      </c>
      <c r="B232" s="6">
        <v>0.81606675925925931</v>
      </c>
      <c r="C232">
        <v>3.6</v>
      </c>
      <c r="D232">
        <v>0.01</v>
      </c>
      <c r="E232">
        <v>4.8</v>
      </c>
      <c r="F232">
        <v>0</v>
      </c>
      <c r="G232">
        <v>0.04</v>
      </c>
      <c r="H232">
        <v>0.14000000000000001</v>
      </c>
      <c r="I232">
        <v>0.1</v>
      </c>
      <c r="J232">
        <v>0.18</v>
      </c>
      <c r="K232">
        <v>60.000999999999998</v>
      </c>
      <c r="L232" s="5" t="s">
        <v>19</v>
      </c>
    </row>
    <row r="233" spans="1:12" hidden="1" x14ac:dyDescent="0.3">
      <c r="A233" s="5" t="s">
        <v>25</v>
      </c>
      <c r="B233" s="6">
        <v>0.81607833333333335</v>
      </c>
      <c r="C233">
        <v>3.6</v>
      </c>
      <c r="D233">
        <v>0.01</v>
      </c>
      <c r="E233">
        <v>4.8</v>
      </c>
      <c r="F233">
        <v>0</v>
      </c>
      <c r="G233">
        <v>0.04</v>
      </c>
      <c r="H233">
        <v>0.14000000000000001</v>
      </c>
      <c r="I233">
        <v>0.1</v>
      </c>
      <c r="J233">
        <v>0.18</v>
      </c>
      <c r="K233">
        <v>60</v>
      </c>
      <c r="L233" s="5" t="s">
        <v>19</v>
      </c>
    </row>
    <row r="234" spans="1:12" hidden="1" x14ac:dyDescent="0.3">
      <c r="A234" s="5" t="s">
        <v>25</v>
      </c>
      <c r="B234" s="6">
        <v>0.81608990740740739</v>
      </c>
      <c r="C234">
        <v>4.09</v>
      </c>
      <c r="D234">
        <v>0.01</v>
      </c>
      <c r="E234">
        <v>5.7</v>
      </c>
      <c r="F234">
        <v>0</v>
      </c>
      <c r="G234">
        <v>0.04</v>
      </c>
      <c r="H234">
        <v>0.14000000000000001</v>
      </c>
      <c r="I234">
        <v>0.1</v>
      </c>
      <c r="J234">
        <v>0.18</v>
      </c>
      <c r="K234">
        <v>59.999000000000002</v>
      </c>
      <c r="L234" s="5" t="s">
        <v>19</v>
      </c>
    </row>
    <row r="235" spans="1:12" hidden="1" x14ac:dyDescent="0.3">
      <c r="A235" s="5" t="s">
        <v>25</v>
      </c>
      <c r="B235" s="6">
        <v>0.81610148148148143</v>
      </c>
      <c r="C235">
        <v>4.46</v>
      </c>
      <c r="D235">
        <v>0.01</v>
      </c>
      <c r="E235">
        <v>6</v>
      </c>
      <c r="F235">
        <v>0</v>
      </c>
      <c r="G235">
        <v>0.04</v>
      </c>
      <c r="H235">
        <v>0.14000000000000001</v>
      </c>
      <c r="I235">
        <v>0.1</v>
      </c>
      <c r="J235">
        <v>0.18</v>
      </c>
      <c r="K235">
        <v>59.999000000000002</v>
      </c>
      <c r="L235" s="5" t="s">
        <v>19</v>
      </c>
    </row>
    <row r="236" spans="1:12" hidden="1" x14ac:dyDescent="0.3">
      <c r="A236" s="5" t="s">
        <v>25</v>
      </c>
      <c r="B236" s="6">
        <v>0.81611305555555558</v>
      </c>
      <c r="C236">
        <v>4.46</v>
      </c>
      <c r="D236">
        <v>0.01</v>
      </c>
      <c r="E236">
        <v>6</v>
      </c>
      <c r="F236">
        <v>0</v>
      </c>
      <c r="G236">
        <v>0.04</v>
      </c>
      <c r="H236">
        <v>0.14000000000000001</v>
      </c>
      <c r="I236">
        <v>0.1</v>
      </c>
      <c r="J236">
        <v>0.18</v>
      </c>
      <c r="K236">
        <v>59.997999999999998</v>
      </c>
      <c r="L236" s="5" t="s">
        <v>19</v>
      </c>
    </row>
    <row r="237" spans="1:12" hidden="1" x14ac:dyDescent="0.3">
      <c r="A237" s="5" t="s">
        <v>25</v>
      </c>
      <c r="B237" s="6">
        <v>0.81612462962962962</v>
      </c>
      <c r="C237">
        <v>4.3899999999999997</v>
      </c>
      <c r="D237">
        <v>0.01</v>
      </c>
      <c r="E237">
        <v>6</v>
      </c>
      <c r="F237">
        <v>0</v>
      </c>
      <c r="G237">
        <v>0.04</v>
      </c>
      <c r="H237">
        <v>0.14000000000000001</v>
      </c>
      <c r="I237">
        <v>0.1</v>
      </c>
      <c r="J237">
        <v>0.18</v>
      </c>
      <c r="K237">
        <v>59.997</v>
      </c>
      <c r="L237" s="5" t="s">
        <v>19</v>
      </c>
    </row>
    <row r="238" spans="1:12" hidden="1" x14ac:dyDescent="0.3">
      <c r="A238" s="5" t="s">
        <v>25</v>
      </c>
      <c r="B238" s="6">
        <v>0.81613620370370366</v>
      </c>
      <c r="C238">
        <v>4.4000000000000004</v>
      </c>
      <c r="D238">
        <v>0.01</v>
      </c>
      <c r="E238">
        <v>5.9</v>
      </c>
      <c r="F238">
        <v>0</v>
      </c>
      <c r="G238">
        <v>0.04</v>
      </c>
      <c r="H238">
        <v>0.15</v>
      </c>
      <c r="I238">
        <v>0.1</v>
      </c>
      <c r="J238">
        <v>0.18</v>
      </c>
      <c r="K238">
        <v>59.997</v>
      </c>
      <c r="L238" s="5" t="s">
        <v>19</v>
      </c>
    </row>
    <row r="239" spans="1:12" hidden="1" x14ac:dyDescent="0.3">
      <c r="A239" s="5" t="s">
        <v>25</v>
      </c>
      <c r="B239" s="6">
        <v>0.81614777777777781</v>
      </c>
      <c r="C239">
        <v>4.3899999999999997</v>
      </c>
      <c r="D239">
        <v>0.01</v>
      </c>
      <c r="E239">
        <v>5.9</v>
      </c>
      <c r="F239">
        <v>0</v>
      </c>
      <c r="G239">
        <v>0.04</v>
      </c>
      <c r="H239">
        <v>0.15</v>
      </c>
      <c r="I239">
        <v>0.1</v>
      </c>
      <c r="J239">
        <v>0.18</v>
      </c>
      <c r="K239">
        <v>59.997</v>
      </c>
      <c r="L239" s="5" t="s">
        <v>19</v>
      </c>
    </row>
    <row r="240" spans="1:12" hidden="1" x14ac:dyDescent="0.3">
      <c r="A240" s="5" t="s">
        <v>25</v>
      </c>
      <c r="B240" s="6">
        <v>0.81615935185185184</v>
      </c>
      <c r="C240">
        <v>4.38</v>
      </c>
      <c r="D240">
        <v>0.01</v>
      </c>
      <c r="E240">
        <v>5.9</v>
      </c>
      <c r="F240">
        <v>0</v>
      </c>
      <c r="G240">
        <v>0.04</v>
      </c>
      <c r="H240">
        <v>0.15</v>
      </c>
      <c r="I240">
        <v>0.1</v>
      </c>
      <c r="J240">
        <v>0.18</v>
      </c>
      <c r="K240">
        <v>59.996000000000002</v>
      </c>
      <c r="L240" s="5" t="s">
        <v>19</v>
      </c>
    </row>
    <row r="241" spans="1:12" hidden="1" x14ac:dyDescent="0.3">
      <c r="A241" s="5" t="s">
        <v>25</v>
      </c>
      <c r="B241" s="6">
        <v>0.81617092592592588</v>
      </c>
      <c r="C241">
        <v>4.38</v>
      </c>
      <c r="D241">
        <v>0.01</v>
      </c>
      <c r="E241">
        <v>5.9</v>
      </c>
      <c r="F241">
        <v>0</v>
      </c>
      <c r="G241">
        <v>0.04</v>
      </c>
      <c r="H241">
        <v>0.14000000000000001</v>
      </c>
      <c r="I241">
        <v>0.1</v>
      </c>
      <c r="J241">
        <v>0.18</v>
      </c>
      <c r="K241">
        <v>59.994999999999997</v>
      </c>
      <c r="L241" s="5" t="s">
        <v>19</v>
      </c>
    </row>
    <row r="242" spans="1:12" hidden="1" x14ac:dyDescent="0.3">
      <c r="A242" s="5" t="s">
        <v>25</v>
      </c>
      <c r="B242" s="6">
        <v>0.81618250000000003</v>
      </c>
      <c r="C242">
        <v>4.37</v>
      </c>
      <c r="D242">
        <v>0.01</v>
      </c>
      <c r="E242">
        <v>5.9</v>
      </c>
      <c r="F242">
        <v>0</v>
      </c>
      <c r="G242">
        <v>0.04</v>
      </c>
      <c r="H242">
        <v>0.14000000000000001</v>
      </c>
      <c r="I242">
        <v>0.1</v>
      </c>
      <c r="J242">
        <v>0.18</v>
      </c>
      <c r="K242">
        <v>59.994999999999997</v>
      </c>
      <c r="L242" s="5" t="s">
        <v>19</v>
      </c>
    </row>
    <row r="243" spans="1:12" hidden="1" x14ac:dyDescent="0.3">
      <c r="A243" s="5" t="s">
        <v>25</v>
      </c>
      <c r="B243" s="6">
        <v>0.81619407407407407</v>
      </c>
      <c r="C243">
        <v>4.37</v>
      </c>
      <c r="D243">
        <v>0.01</v>
      </c>
      <c r="E243">
        <v>5.9</v>
      </c>
      <c r="F243">
        <v>0</v>
      </c>
      <c r="G243">
        <v>0.04</v>
      </c>
      <c r="H243">
        <v>0.14000000000000001</v>
      </c>
      <c r="I243">
        <v>0.1</v>
      </c>
      <c r="J243">
        <v>0.18</v>
      </c>
      <c r="K243">
        <v>59.994</v>
      </c>
      <c r="L243" s="5" t="s">
        <v>19</v>
      </c>
    </row>
    <row r="244" spans="1:12" hidden="1" x14ac:dyDescent="0.3">
      <c r="A244" s="5" t="s">
        <v>25</v>
      </c>
      <c r="B244" s="6">
        <v>0.81620564814814811</v>
      </c>
      <c r="C244">
        <v>4.3600000000000003</v>
      </c>
      <c r="D244">
        <v>0.01</v>
      </c>
      <c r="E244">
        <v>5.9</v>
      </c>
      <c r="F244">
        <v>0</v>
      </c>
      <c r="G244">
        <v>0.04</v>
      </c>
      <c r="H244">
        <v>0.14000000000000001</v>
      </c>
      <c r="I244">
        <v>0.1</v>
      </c>
      <c r="J244">
        <v>0.18</v>
      </c>
      <c r="K244">
        <v>59.994</v>
      </c>
      <c r="L244" s="5" t="s">
        <v>19</v>
      </c>
    </row>
    <row r="245" spans="1:12" hidden="1" x14ac:dyDescent="0.3">
      <c r="A245" s="5" t="s">
        <v>25</v>
      </c>
      <c r="B245" s="6">
        <v>0.81621722222222226</v>
      </c>
      <c r="C245">
        <v>4.3499999999999996</v>
      </c>
      <c r="D245">
        <v>0.01</v>
      </c>
      <c r="E245">
        <v>5.9</v>
      </c>
      <c r="F245">
        <v>0</v>
      </c>
      <c r="G245">
        <v>0.04</v>
      </c>
      <c r="H245">
        <v>0.14000000000000001</v>
      </c>
      <c r="I245">
        <v>0.1</v>
      </c>
      <c r="J245">
        <v>0.18</v>
      </c>
      <c r="K245">
        <v>59.993000000000002</v>
      </c>
      <c r="L245" s="5" t="s">
        <v>19</v>
      </c>
    </row>
    <row r="246" spans="1:12" hidden="1" x14ac:dyDescent="0.3">
      <c r="A246" s="5" t="s">
        <v>25</v>
      </c>
      <c r="B246" s="6">
        <v>0.8162287962962963</v>
      </c>
      <c r="C246">
        <v>4.34</v>
      </c>
      <c r="D246">
        <v>0.01</v>
      </c>
      <c r="E246">
        <v>5.9</v>
      </c>
      <c r="F246">
        <v>0</v>
      </c>
      <c r="G246">
        <v>0.04</v>
      </c>
      <c r="H246">
        <v>0.14000000000000001</v>
      </c>
      <c r="I246">
        <v>0.1</v>
      </c>
      <c r="J246">
        <v>0.18</v>
      </c>
      <c r="K246">
        <v>59.991999999999997</v>
      </c>
      <c r="L246" s="5" t="s">
        <v>19</v>
      </c>
    </row>
    <row r="247" spans="1:12" hidden="1" x14ac:dyDescent="0.3">
      <c r="A247" s="5" t="s">
        <v>25</v>
      </c>
      <c r="B247" s="6">
        <v>0.81624037037037034</v>
      </c>
      <c r="C247">
        <v>4.34</v>
      </c>
      <c r="D247">
        <v>0.01</v>
      </c>
      <c r="E247">
        <v>5.9</v>
      </c>
      <c r="F247">
        <v>0</v>
      </c>
      <c r="G247">
        <v>0.04</v>
      </c>
      <c r="H247">
        <v>0.14000000000000001</v>
      </c>
      <c r="I247">
        <v>0.1</v>
      </c>
      <c r="J247">
        <v>0.18</v>
      </c>
      <c r="K247">
        <v>59.991</v>
      </c>
      <c r="L247" s="5" t="s">
        <v>19</v>
      </c>
    </row>
    <row r="248" spans="1:12" hidden="1" x14ac:dyDescent="0.3">
      <c r="A248" s="5" t="s">
        <v>25</v>
      </c>
      <c r="B248" s="6">
        <v>0.81625194444444449</v>
      </c>
      <c r="C248">
        <v>4.3499999999999996</v>
      </c>
      <c r="D248">
        <v>0.01</v>
      </c>
      <c r="E248">
        <v>5.9</v>
      </c>
      <c r="F248">
        <v>0</v>
      </c>
      <c r="G248">
        <v>0.04</v>
      </c>
      <c r="H248">
        <v>0.15</v>
      </c>
      <c r="I248">
        <v>0.1</v>
      </c>
      <c r="J248">
        <v>0.18</v>
      </c>
      <c r="K248">
        <v>59.99</v>
      </c>
      <c r="L248" s="5" t="s">
        <v>19</v>
      </c>
    </row>
    <row r="249" spans="1:12" hidden="1" x14ac:dyDescent="0.3">
      <c r="A249" s="5" t="s">
        <v>25</v>
      </c>
      <c r="B249" s="6">
        <v>0.81626351851851853</v>
      </c>
      <c r="C249">
        <v>4.34</v>
      </c>
      <c r="D249">
        <v>0.01</v>
      </c>
      <c r="E249">
        <v>5.8</v>
      </c>
      <c r="F249">
        <v>0</v>
      </c>
      <c r="G249">
        <v>0.04</v>
      </c>
      <c r="H249">
        <v>0.14000000000000001</v>
      </c>
      <c r="I249">
        <v>0.1</v>
      </c>
      <c r="J249">
        <v>0.18</v>
      </c>
      <c r="K249">
        <v>59.988999999999997</v>
      </c>
      <c r="L249" s="5" t="s">
        <v>19</v>
      </c>
    </row>
    <row r="250" spans="1:12" hidden="1" x14ac:dyDescent="0.3">
      <c r="A250" s="5" t="s">
        <v>25</v>
      </c>
      <c r="B250" s="6">
        <v>0.81627509259259257</v>
      </c>
      <c r="C250">
        <v>4.34</v>
      </c>
      <c r="D250">
        <v>0.01</v>
      </c>
      <c r="E250">
        <v>5.9</v>
      </c>
      <c r="F250">
        <v>0</v>
      </c>
      <c r="G250">
        <v>0.04</v>
      </c>
      <c r="H250">
        <v>0.14000000000000001</v>
      </c>
      <c r="I250">
        <v>0.1</v>
      </c>
      <c r="J250">
        <v>0.18</v>
      </c>
      <c r="K250">
        <v>59.988</v>
      </c>
      <c r="L250" s="5" t="s">
        <v>19</v>
      </c>
    </row>
    <row r="251" spans="1:12" hidden="1" x14ac:dyDescent="0.3">
      <c r="A251" s="5" t="s">
        <v>25</v>
      </c>
      <c r="B251" s="6">
        <v>0.81628666666666672</v>
      </c>
      <c r="C251">
        <v>4.32</v>
      </c>
      <c r="D251">
        <v>0.01</v>
      </c>
      <c r="E251">
        <v>5.8</v>
      </c>
      <c r="F251">
        <v>0</v>
      </c>
      <c r="G251">
        <v>0.04</v>
      </c>
      <c r="H251">
        <v>0.14000000000000001</v>
      </c>
      <c r="I251">
        <v>0.1</v>
      </c>
      <c r="J251">
        <v>0.18</v>
      </c>
      <c r="K251">
        <v>59.987000000000002</v>
      </c>
      <c r="L251" s="5" t="s">
        <v>19</v>
      </c>
    </row>
    <row r="252" spans="1:12" hidden="1" x14ac:dyDescent="0.3">
      <c r="A252" s="5" t="s">
        <v>25</v>
      </c>
      <c r="B252" s="6">
        <v>0.81629824074074075</v>
      </c>
      <c r="C252">
        <v>4.42</v>
      </c>
      <c r="D252">
        <v>0.01</v>
      </c>
      <c r="E252">
        <v>6</v>
      </c>
      <c r="F252">
        <v>0</v>
      </c>
      <c r="G252">
        <v>0.04</v>
      </c>
      <c r="H252">
        <v>0.14000000000000001</v>
      </c>
      <c r="I252">
        <v>0.1</v>
      </c>
      <c r="J252">
        <v>0.18</v>
      </c>
      <c r="K252">
        <v>59.985999999999997</v>
      </c>
      <c r="L252" s="5" t="s">
        <v>19</v>
      </c>
    </row>
    <row r="253" spans="1:12" hidden="1" x14ac:dyDescent="0.3">
      <c r="A253" s="5" t="s">
        <v>25</v>
      </c>
      <c r="B253" s="6">
        <v>0.81630981481481479</v>
      </c>
      <c r="C253">
        <v>4.99</v>
      </c>
      <c r="D253">
        <v>0.01</v>
      </c>
      <c r="E253">
        <v>6.8</v>
      </c>
      <c r="F253">
        <v>0</v>
      </c>
      <c r="G253">
        <v>0.04</v>
      </c>
      <c r="H253">
        <v>0.14000000000000001</v>
      </c>
      <c r="I253">
        <v>0.1</v>
      </c>
      <c r="J253">
        <v>0.18</v>
      </c>
      <c r="K253">
        <v>59.984999999999999</v>
      </c>
      <c r="L253" s="5" t="s">
        <v>19</v>
      </c>
    </row>
    <row r="254" spans="1:12" hidden="1" x14ac:dyDescent="0.3">
      <c r="A254" s="5" t="s">
        <v>25</v>
      </c>
      <c r="B254" s="6">
        <v>0.81632138888888894</v>
      </c>
      <c r="C254">
        <v>4.9800000000000004</v>
      </c>
      <c r="D254">
        <v>0.01</v>
      </c>
      <c r="E254">
        <v>6.8</v>
      </c>
      <c r="F254">
        <v>0</v>
      </c>
      <c r="G254">
        <v>0.04</v>
      </c>
      <c r="H254">
        <v>0.14000000000000001</v>
      </c>
      <c r="I254">
        <v>0.1</v>
      </c>
      <c r="J254">
        <v>0.18</v>
      </c>
      <c r="K254">
        <v>59.984999999999999</v>
      </c>
      <c r="L254" s="5" t="s">
        <v>19</v>
      </c>
    </row>
    <row r="255" spans="1:12" hidden="1" x14ac:dyDescent="0.3">
      <c r="A255" s="5" t="s">
        <v>25</v>
      </c>
      <c r="B255" s="6">
        <v>0.81633296296296298</v>
      </c>
      <c r="C255">
        <v>4.97</v>
      </c>
      <c r="D255">
        <v>0.01</v>
      </c>
      <c r="E255">
        <v>6.8</v>
      </c>
      <c r="F255">
        <v>0</v>
      </c>
      <c r="G255">
        <v>0.04</v>
      </c>
      <c r="H255">
        <v>0.14000000000000001</v>
      </c>
      <c r="I255">
        <v>0.1</v>
      </c>
      <c r="J255">
        <v>0.18</v>
      </c>
      <c r="K255">
        <v>59.984000000000002</v>
      </c>
      <c r="L255" s="5" t="s">
        <v>19</v>
      </c>
    </row>
    <row r="256" spans="1:12" hidden="1" x14ac:dyDescent="0.3">
      <c r="A256" s="5" t="s">
        <v>25</v>
      </c>
      <c r="B256" s="6">
        <v>0.81634453703703702</v>
      </c>
      <c r="C256">
        <v>4.97</v>
      </c>
      <c r="D256">
        <v>0.01</v>
      </c>
      <c r="E256">
        <v>6.8</v>
      </c>
      <c r="F256">
        <v>0</v>
      </c>
      <c r="G256">
        <v>0.04</v>
      </c>
      <c r="H256">
        <v>0.14000000000000001</v>
      </c>
      <c r="I256">
        <v>0.1</v>
      </c>
      <c r="J256">
        <v>0.18</v>
      </c>
      <c r="K256">
        <v>59.984000000000002</v>
      </c>
      <c r="L256" s="5" t="s">
        <v>19</v>
      </c>
    </row>
    <row r="257" spans="1:12" hidden="1" x14ac:dyDescent="0.3">
      <c r="A257" s="5" t="s">
        <v>25</v>
      </c>
      <c r="B257" s="6">
        <v>0.81635611111111106</v>
      </c>
      <c r="C257">
        <v>5.1100000000000003</v>
      </c>
      <c r="D257">
        <v>0.01</v>
      </c>
      <c r="E257">
        <v>7</v>
      </c>
      <c r="F257">
        <v>0</v>
      </c>
      <c r="G257">
        <v>0.04</v>
      </c>
      <c r="H257">
        <v>0.14000000000000001</v>
      </c>
      <c r="I257">
        <v>0.1</v>
      </c>
      <c r="J257">
        <v>0.18</v>
      </c>
      <c r="K257">
        <v>59.984000000000002</v>
      </c>
      <c r="L257" s="5" t="s">
        <v>19</v>
      </c>
    </row>
    <row r="258" spans="1:12" hidden="1" x14ac:dyDescent="0.3">
      <c r="A258" s="5" t="s">
        <v>25</v>
      </c>
      <c r="B258" s="6">
        <v>0.81636768518518521</v>
      </c>
      <c r="C258">
        <v>5.78</v>
      </c>
      <c r="D258">
        <v>0.01</v>
      </c>
      <c r="E258">
        <v>8</v>
      </c>
      <c r="F258">
        <v>0</v>
      </c>
      <c r="G258">
        <v>0.04</v>
      </c>
      <c r="H258">
        <v>0.14000000000000001</v>
      </c>
      <c r="I258">
        <v>0.1</v>
      </c>
      <c r="J258">
        <v>0.18</v>
      </c>
      <c r="K258">
        <v>59.984000000000002</v>
      </c>
      <c r="L258" s="5" t="s">
        <v>19</v>
      </c>
    </row>
    <row r="259" spans="1:12" hidden="1" x14ac:dyDescent="0.3">
      <c r="A259" s="5" t="s">
        <v>25</v>
      </c>
      <c r="B259" s="6">
        <v>0.81637925925925925</v>
      </c>
      <c r="C259">
        <v>5.76</v>
      </c>
      <c r="D259">
        <v>0.01</v>
      </c>
      <c r="E259">
        <v>7.9</v>
      </c>
      <c r="F259">
        <v>0</v>
      </c>
      <c r="G259">
        <v>0.04</v>
      </c>
      <c r="H259">
        <v>0.14000000000000001</v>
      </c>
      <c r="I259">
        <v>0.1</v>
      </c>
      <c r="J259">
        <v>0.18</v>
      </c>
      <c r="K259">
        <v>59.984000000000002</v>
      </c>
      <c r="L259" s="5" t="s">
        <v>19</v>
      </c>
    </row>
    <row r="260" spans="1:12" hidden="1" x14ac:dyDescent="0.3">
      <c r="A260" s="5" t="s">
        <v>25</v>
      </c>
      <c r="B260" s="6">
        <v>0.81639083333333329</v>
      </c>
      <c r="C260">
        <v>5.75</v>
      </c>
      <c r="D260">
        <v>0.01</v>
      </c>
      <c r="E260">
        <v>7.9</v>
      </c>
      <c r="F260">
        <v>0</v>
      </c>
      <c r="G260">
        <v>0.04</v>
      </c>
      <c r="H260">
        <v>0.14000000000000001</v>
      </c>
      <c r="I260">
        <v>0.1</v>
      </c>
      <c r="J260">
        <v>0.18</v>
      </c>
      <c r="K260">
        <v>59.984999999999999</v>
      </c>
      <c r="L260" s="5" t="s">
        <v>19</v>
      </c>
    </row>
    <row r="261" spans="1:12" hidden="1" x14ac:dyDescent="0.3">
      <c r="A261" s="5" t="s">
        <v>25</v>
      </c>
      <c r="B261" s="6">
        <v>0.81640240740740744</v>
      </c>
      <c r="C261">
        <v>5.74</v>
      </c>
      <c r="D261">
        <v>0.01</v>
      </c>
      <c r="E261">
        <v>7.9</v>
      </c>
      <c r="F261">
        <v>0</v>
      </c>
      <c r="G261">
        <v>0.04</v>
      </c>
      <c r="H261">
        <v>0.14000000000000001</v>
      </c>
      <c r="I261">
        <v>0.1</v>
      </c>
      <c r="J261">
        <v>0.18</v>
      </c>
      <c r="K261">
        <v>59.984999999999999</v>
      </c>
      <c r="L261" s="5" t="s">
        <v>19</v>
      </c>
    </row>
    <row r="262" spans="1:12" hidden="1" x14ac:dyDescent="0.3">
      <c r="A262" s="5" t="s">
        <v>25</v>
      </c>
      <c r="B262" s="6">
        <v>0.81641398148148148</v>
      </c>
      <c r="C262">
        <v>5.78</v>
      </c>
      <c r="D262">
        <v>0.01</v>
      </c>
      <c r="E262">
        <v>8</v>
      </c>
      <c r="F262">
        <v>0</v>
      </c>
      <c r="G262">
        <v>0.04</v>
      </c>
      <c r="H262">
        <v>0.14000000000000001</v>
      </c>
      <c r="I262">
        <v>0.1</v>
      </c>
      <c r="J262">
        <v>0.18</v>
      </c>
      <c r="K262">
        <v>59.985999999999997</v>
      </c>
      <c r="L262" s="5" t="s">
        <v>19</v>
      </c>
    </row>
    <row r="263" spans="1:12" hidden="1" x14ac:dyDescent="0.3">
      <c r="A263" s="5" t="s">
        <v>25</v>
      </c>
      <c r="B263" s="6">
        <v>0.81642555555555552</v>
      </c>
      <c r="C263">
        <v>6</v>
      </c>
      <c r="D263">
        <v>0.01</v>
      </c>
      <c r="E263">
        <v>8.3000000000000007</v>
      </c>
      <c r="F263">
        <v>0</v>
      </c>
      <c r="G263">
        <v>0.04</v>
      </c>
      <c r="H263">
        <v>0.14000000000000001</v>
      </c>
      <c r="I263">
        <v>0.1</v>
      </c>
      <c r="J263">
        <v>0.18</v>
      </c>
      <c r="K263">
        <v>59.987000000000002</v>
      </c>
      <c r="L263" s="5" t="s">
        <v>19</v>
      </c>
    </row>
    <row r="264" spans="1:12" hidden="1" x14ac:dyDescent="0.3">
      <c r="A264" s="5" t="s">
        <v>25</v>
      </c>
      <c r="B264" s="6">
        <v>0.81643712962962967</v>
      </c>
      <c r="C264">
        <v>6</v>
      </c>
      <c r="D264">
        <v>0.01</v>
      </c>
      <c r="E264">
        <v>8.3000000000000007</v>
      </c>
      <c r="F264">
        <v>0</v>
      </c>
      <c r="G264">
        <v>0.04</v>
      </c>
      <c r="H264">
        <v>0.14000000000000001</v>
      </c>
      <c r="I264">
        <v>0.1</v>
      </c>
      <c r="J264">
        <v>0.18</v>
      </c>
      <c r="K264">
        <v>59.987000000000002</v>
      </c>
      <c r="L264" s="5" t="s">
        <v>19</v>
      </c>
    </row>
    <row r="265" spans="1:12" hidden="1" x14ac:dyDescent="0.3">
      <c r="A265" s="5" t="s">
        <v>25</v>
      </c>
      <c r="B265" s="6">
        <v>0.8164487037037037</v>
      </c>
      <c r="C265">
        <v>6</v>
      </c>
      <c r="D265">
        <v>0.01</v>
      </c>
      <c r="E265">
        <v>8.3000000000000007</v>
      </c>
      <c r="F265">
        <v>0</v>
      </c>
      <c r="G265">
        <v>0.04</v>
      </c>
      <c r="H265">
        <v>0.14000000000000001</v>
      </c>
      <c r="I265">
        <v>0.1</v>
      </c>
      <c r="J265">
        <v>0.18</v>
      </c>
      <c r="K265">
        <v>59.988</v>
      </c>
      <c r="L265" s="5" t="s">
        <v>19</v>
      </c>
    </row>
    <row r="266" spans="1:12" hidden="1" x14ac:dyDescent="0.3">
      <c r="A266" s="5" t="s">
        <v>25</v>
      </c>
      <c r="B266" s="6">
        <v>0.81646027777777774</v>
      </c>
      <c r="C266">
        <v>6</v>
      </c>
      <c r="D266">
        <v>0.01</v>
      </c>
      <c r="E266">
        <v>8.3000000000000007</v>
      </c>
      <c r="F266">
        <v>0</v>
      </c>
      <c r="G266">
        <v>0.04</v>
      </c>
      <c r="H266">
        <v>0.14000000000000001</v>
      </c>
      <c r="I266">
        <v>0.1</v>
      </c>
      <c r="J266">
        <v>0.18</v>
      </c>
      <c r="K266">
        <v>59.988999999999997</v>
      </c>
      <c r="L266" s="5" t="s">
        <v>19</v>
      </c>
    </row>
    <row r="267" spans="1:12" hidden="1" x14ac:dyDescent="0.3">
      <c r="A267" s="5" t="s">
        <v>25</v>
      </c>
      <c r="B267" s="6">
        <v>0.81647185185185189</v>
      </c>
      <c r="C267">
        <v>6.02</v>
      </c>
      <c r="D267">
        <v>0.01</v>
      </c>
      <c r="E267">
        <v>8.4</v>
      </c>
      <c r="F267">
        <v>0</v>
      </c>
      <c r="G267">
        <v>0.04</v>
      </c>
      <c r="H267">
        <v>0.14000000000000001</v>
      </c>
      <c r="I267">
        <v>0.1</v>
      </c>
      <c r="J267">
        <v>0.18</v>
      </c>
      <c r="K267">
        <v>59.988999999999997</v>
      </c>
      <c r="L267" s="5" t="s">
        <v>19</v>
      </c>
    </row>
    <row r="268" spans="1:12" hidden="1" x14ac:dyDescent="0.3">
      <c r="A268" s="5" t="s">
        <v>25</v>
      </c>
      <c r="B268" s="6">
        <v>0.81648342592592593</v>
      </c>
      <c r="C268">
        <v>6.14</v>
      </c>
      <c r="D268">
        <v>0.01</v>
      </c>
      <c r="E268">
        <v>8.6</v>
      </c>
      <c r="F268">
        <v>0</v>
      </c>
      <c r="G268">
        <v>0.04</v>
      </c>
      <c r="H268">
        <v>0.14000000000000001</v>
      </c>
      <c r="I268">
        <v>0.1</v>
      </c>
      <c r="J268">
        <v>0.18</v>
      </c>
      <c r="K268">
        <v>59.988999999999997</v>
      </c>
      <c r="L268" s="5" t="s">
        <v>19</v>
      </c>
    </row>
    <row r="269" spans="1:12" hidden="1" x14ac:dyDescent="0.3">
      <c r="A269" s="5" t="s">
        <v>25</v>
      </c>
      <c r="B269" s="6">
        <v>0.81649499999999997</v>
      </c>
      <c r="C269">
        <v>6.14</v>
      </c>
      <c r="D269">
        <v>0.01</v>
      </c>
      <c r="E269">
        <v>8.6</v>
      </c>
      <c r="F269">
        <v>0</v>
      </c>
      <c r="G269">
        <v>0.04</v>
      </c>
      <c r="H269">
        <v>0.14000000000000001</v>
      </c>
      <c r="I269">
        <v>0.1</v>
      </c>
      <c r="J269">
        <v>0.18</v>
      </c>
      <c r="K269">
        <v>59.99</v>
      </c>
      <c r="L269" s="5" t="s">
        <v>19</v>
      </c>
    </row>
    <row r="270" spans="1:12" hidden="1" x14ac:dyDescent="0.3">
      <c r="A270" s="5" t="s">
        <v>25</v>
      </c>
      <c r="B270" s="6">
        <v>0.81650657407407412</v>
      </c>
      <c r="C270">
        <v>6.14</v>
      </c>
      <c r="D270">
        <v>0.01</v>
      </c>
      <c r="E270">
        <v>8.6</v>
      </c>
      <c r="F270">
        <v>0</v>
      </c>
      <c r="G270">
        <v>0.04</v>
      </c>
      <c r="H270">
        <v>0.14000000000000001</v>
      </c>
      <c r="I270">
        <v>0.1</v>
      </c>
      <c r="J270">
        <v>0.18</v>
      </c>
      <c r="K270">
        <v>59.99</v>
      </c>
      <c r="L270" s="5" t="s">
        <v>19</v>
      </c>
    </row>
    <row r="271" spans="1:12" hidden="1" x14ac:dyDescent="0.3">
      <c r="A271" s="5" t="s">
        <v>25</v>
      </c>
      <c r="B271" s="6">
        <v>0.81651814814814816</v>
      </c>
      <c r="C271">
        <v>6.14</v>
      </c>
      <c r="D271">
        <v>0.01</v>
      </c>
      <c r="E271">
        <v>8.6</v>
      </c>
      <c r="F271">
        <v>0</v>
      </c>
      <c r="G271">
        <v>0.04</v>
      </c>
      <c r="H271">
        <v>0.14000000000000001</v>
      </c>
      <c r="I271">
        <v>0.1</v>
      </c>
      <c r="J271">
        <v>0.18</v>
      </c>
      <c r="K271">
        <v>59.99</v>
      </c>
      <c r="L271" s="5" t="s">
        <v>19</v>
      </c>
    </row>
    <row r="272" spans="1:12" hidden="1" x14ac:dyDescent="0.3">
      <c r="A272" s="5" t="s">
        <v>25</v>
      </c>
      <c r="B272" s="6">
        <v>0.8165297222222222</v>
      </c>
      <c r="C272">
        <v>6.15</v>
      </c>
      <c r="D272">
        <v>0.01</v>
      </c>
      <c r="E272">
        <v>8.6</v>
      </c>
      <c r="F272">
        <v>0</v>
      </c>
      <c r="G272">
        <v>0.04</v>
      </c>
      <c r="H272">
        <v>0.14000000000000001</v>
      </c>
      <c r="I272">
        <v>0.1</v>
      </c>
      <c r="J272">
        <v>0.18</v>
      </c>
      <c r="K272">
        <v>59.991</v>
      </c>
      <c r="L272" s="5" t="s">
        <v>19</v>
      </c>
    </row>
    <row r="273" spans="1:12" hidden="1" x14ac:dyDescent="0.3">
      <c r="A273" s="5" t="s">
        <v>25</v>
      </c>
      <c r="B273" s="6">
        <v>0.81654129629629635</v>
      </c>
      <c r="C273">
        <v>6.24</v>
      </c>
      <c r="D273">
        <v>0.01</v>
      </c>
      <c r="E273">
        <v>8.6999999999999993</v>
      </c>
      <c r="F273">
        <v>0</v>
      </c>
      <c r="G273">
        <v>0.04</v>
      </c>
      <c r="H273">
        <v>0.14000000000000001</v>
      </c>
      <c r="I273">
        <v>0.1</v>
      </c>
      <c r="J273">
        <v>0.18</v>
      </c>
      <c r="K273">
        <v>59.991</v>
      </c>
      <c r="L273" s="5" t="s">
        <v>19</v>
      </c>
    </row>
    <row r="274" spans="1:12" hidden="1" x14ac:dyDescent="0.3">
      <c r="A274" s="5" t="s">
        <v>25</v>
      </c>
      <c r="B274" s="6">
        <v>0.81655287037037039</v>
      </c>
      <c r="C274">
        <v>6.24</v>
      </c>
      <c r="D274">
        <v>0.01</v>
      </c>
      <c r="E274">
        <v>8.6999999999999993</v>
      </c>
      <c r="F274">
        <v>0</v>
      </c>
      <c r="G274">
        <v>0.04</v>
      </c>
      <c r="H274">
        <v>0.15</v>
      </c>
      <c r="I274">
        <v>0.1</v>
      </c>
      <c r="J274">
        <v>0.18</v>
      </c>
      <c r="K274">
        <v>59.991</v>
      </c>
      <c r="L274" s="5" t="s">
        <v>19</v>
      </c>
    </row>
    <row r="275" spans="1:12" hidden="1" x14ac:dyDescent="0.3">
      <c r="A275" s="5" t="s">
        <v>25</v>
      </c>
      <c r="B275" s="6">
        <v>0.81656444444444443</v>
      </c>
      <c r="C275">
        <v>6.24</v>
      </c>
      <c r="D275">
        <v>0.01</v>
      </c>
      <c r="E275">
        <v>8.6999999999999993</v>
      </c>
      <c r="F275">
        <v>0</v>
      </c>
      <c r="G275">
        <v>0.04</v>
      </c>
      <c r="H275">
        <v>0.15</v>
      </c>
      <c r="I275">
        <v>0.1</v>
      </c>
      <c r="J275">
        <v>0.18</v>
      </c>
      <c r="K275">
        <v>59.991999999999997</v>
      </c>
      <c r="L275" s="5" t="s">
        <v>19</v>
      </c>
    </row>
    <row r="276" spans="1:12" hidden="1" x14ac:dyDescent="0.3">
      <c r="A276" s="5" t="s">
        <v>25</v>
      </c>
      <c r="B276" s="6">
        <v>0.81657601851851846</v>
      </c>
      <c r="C276">
        <v>6.24</v>
      </c>
      <c r="D276">
        <v>0.01</v>
      </c>
      <c r="E276">
        <v>8.6999999999999993</v>
      </c>
      <c r="F276">
        <v>0</v>
      </c>
      <c r="G276">
        <v>0.04</v>
      </c>
      <c r="H276">
        <v>0.14000000000000001</v>
      </c>
      <c r="I276">
        <v>0.1</v>
      </c>
      <c r="J276">
        <v>0.18</v>
      </c>
      <c r="K276">
        <v>59.991999999999997</v>
      </c>
      <c r="L276" s="5" t="s">
        <v>19</v>
      </c>
    </row>
    <row r="277" spans="1:12" hidden="1" x14ac:dyDescent="0.3">
      <c r="A277" s="5" t="s">
        <v>25</v>
      </c>
      <c r="B277" s="6">
        <v>0.81658759259259261</v>
      </c>
      <c r="C277">
        <v>6.26</v>
      </c>
      <c r="D277">
        <v>0.01</v>
      </c>
      <c r="E277">
        <v>8.6999999999999993</v>
      </c>
      <c r="F277">
        <v>0</v>
      </c>
      <c r="G277">
        <v>0.04</v>
      </c>
      <c r="H277">
        <v>0.14000000000000001</v>
      </c>
      <c r="I277">
        <v>0.1</v>
      </c>
      <c r="J277">
        <v>0.18</v>
      </c>
      <c r="K277">
        <v>59.993000000000002</v>
      </c>
      <c r="L277" s="5" t="s">
        <v>19</v>
      </c>
    </row>
    <row r="278" spans="1:12" hidden="1" x14ac:dyDescent="0.3">
      <c r="A278" s="5" t="s">
        <v>25</v>
      </c>
      <c r="B278" s="6">
        <v>0.81659916666666665</v>
      </c>
      <c r="C278">
        <v>6.41</v>
      </c>
      <c r="D278">
        <v>0.01</v>
      </c>
      <c r="E278">
        <v>9</v>
      </c>
      <c r="F278">
        <v>0</v>
      </c>
      <c r="G278">
        <v>0.04</v>
      </c>
      <c r="H278">
        <v>0.14000000000000001</v>
      </c>
      <c r="I278">
        <v>0.1</v>
      </c>
      <c r="J278">
        <v>0.18</v>
      </c>
      <c r="K278">
        <v>59.993000000000002</v>
      </c>
      <c r="L278" s="5" t="s">
        <v>19</v>
      </c>
    </row>
    <row r="279" spans="1:12" hidden="1" x14ac:dyDescent="0.3">
      <c r="A279" s="5" t="s">
        <v>25</v>
      </c>
      <c r="B279" s="6">
        <v>0.81661074074074069</v>
      </c>
      <c r="C279">
        <v>6.41</v>
      </c>
      <c r="D279">
        <v>0.01</v>
      </c>
      <c r="E279">
        <v>8.9</v>
      </c>
      <c r="F279">
        <v>0</v>
      </c>
      <c r="G279">
        <v>0.04</v>
      </c>
      <c r="H279">
        <v>0.14000000000000001</v>
      </c>
      <c r="I279">
        <v>0.1</v>
      </c>
      <c r="J279">
        <v>0.18</v>
      </c>
      <c r="K279">
        <v>59.994</v>
      </c>
      <c r="L279" s="5" t="s">
        <v>19</v>
      </c>
    </row>
    <row r="280" spans="1:12" hidden="1" x14ac:dyDescent="0.3">
      <c r="A280" s="5" t="s">
        <v>25</v>
      </c>
      <c r="B280" s="6">
        <v>0.81662231481481484</v>
      </c>
      <c r="C280">
        <v>6.41</v>
      </c>
      <c r="D280">
        <v>0.01</v>
      </c>
      <c r="E280">
        <v>8.9</v>
      </c>
      <c r="F280">
        <v>0</v>
      </c>
      <c r="G280">
        <v>0.04</v>
      </c>
      <c r="H280">
        <v>0.14000000000000001</v>
      </c>
      <c r="I280">
        <v>0.1</v>
      </c>
      <c r="J280">
        <v>0.18</v>
      </c>
      <c r="K280">
        <v>59.994</v>
      </c>
      <c r="L280" s="5" t="s">
        <v>19</v>
      </c>
    </row>
    <row r="281" spans="1:12" hidden="1" x14ac:dyDescent="0.3">
      <c r="A281" s="5" t="s">
        <v>25</v>
      </c>
      <c r="B281" s="6">
        <v>0.81663388888888888</v>
      </c>
      <c r="C281">
        <v>6.41</v>
      </c>
      <c r="D281">
        <v>0.01</v>
      </c>
      <c r="E281">
        <v>8.9</v>
      </c>
      <c r="F281">
        <v>0</v>
      </c>
      <c r="G281">
        <v>0.04</v>
      </c>
      <c r="H281">
        <v>0.14000000000000001</v>
      </c>
      <c r="I281">
        <v>0.1</v>
      </c>
      <c r="J281">
        <v>0.18</v>
      </c>
      <c r="K281">
        <v>59.994999999999997</v>
      </c>
      <c r="L281" s="5" t="s">
        <v>19</v>
      </c>
    </row>
    <row r="282" spans="1:12" hidden="1" x14ac:dyDescent="0.3">
      <c r="A282" s="5" t="s">
        <v>25</v>
      </c>
      <c r="B282" s="6">
        <v>0.81664546296296292</v>
      </c>
      <c r="C282">
        <v>6.43</v>
      </c>
      <c r="D282">
        <v>0.01</v>
      </c>
      <c r="E282">
        <v>9</v>
      </c>
      <c r="F282">
        <v>0</v>
      </c>
      <c r="G282">
        <v>0.04</v>
      </c>
      <c r="H282">
        <v>0.14000000000000001</v>
      </c>
      <c r="I282">
        <v>0.1</v>
      </c>
      <c r="J282">
        <v>0.18</v>
      </c>
      <c r="K282">
        <v>59.996000000000002</v>
      </c>
      <c r="L282" s="5" t="s">
        <v>19</v>
      </c>
    </row>
    <row r="283" spans="1:12" hidden="1" x14ac:dyDescent="0.3">
      <c r="A283" s="5" t="s">
        <v>25</v>
      </c>
      <c r="B283" s="6">
        <v>0.81665703703703707</v>
      </c>
      <c r="C283">
        <v>6.57</v>
      </c>
      <c r="D283">
        <v>0.01</v>
      </c>
      <c r="E283">
        <v>9.1999999999999993</v>
      </c>
      <c r="F283">
        <v>0</v>
      </c>
      <c r="G283">
        <v>0.04</v>
      </c>
      <c r="H283">
        <v>0.14000000000000001</v>
      </c>
      <c r="I283">
        <v>0.1</v>
      </c>
      <c r="J283">
        <v>0.18</v>
      </c>
      <c r="K283">
        <v>59.997</v>
      </c>
      <c r="L283" s="5" t="s">
        <v>19</v>
      </c>
    </row>
    <row r="284" spans="1:12" hidden="1" x14ac:dyDescent="0.3">
      <c r="A284" s="5" t="s">
        <v>25</v>
      </c>
      <c r="B284" s="6">
        <v>0.81666861111111111</v>
      </c>
      <c r="C284">
        <v>6.57</v>
      </c>
      <c r="D284">
        <v>0.01</v>
      </c>
      <c r="E284">
        <v>9.1999999999999993</v>
      </c>
      <c r="F284">
        <v>0</v>
      </c>
      <c r="G284">
        <v>0.04</v>
      </c>
      <c r="H284">
        <v>0.14000000000000001</v>
      </c>
      <c r="I284">
        <v>0.1</v>
      </c>
      <c r="J284">
        <v>0.18</v>
      </c>
      <c r="K284">
        <v>59.997999999999998</v>
      </c>
      <c r="L284" s="5" t="s">
        <v>19</v>
      </c>
    </row>
    <row r="285" spans="1:12" hidden="1" x14ac:dyDescent="0.3">
      <c r="A285" s="5" t="s">
        <v>25</v>
      </c>
      <c r="B285" s="6">
        <v>0.81668018518518515</v>
      </c>
      <c r="C285">
        <v>6.57</v>
      </c>
      <c r="D285">
        <v>0.01</v>
      </c>
      <c r="E285">
        <v>9.1999999999999993</v>
      </c>
      <c r="F285">
        <v>0</v>
      </c>
      <c r="G285">
        <v>0.04</v>
      </c>
      <c r="H285">
        <v>0.14000000000000001</v>
      </c>
      <c r="I285">
        <v>0.1</v>
      </c>
      <c r="J285">
        <v>0.18</v>
      </c>
      <c r="K285">
        <v>59.997999999999998</v>
      </c>
      <c r="L285" s="5" t="s">
        <v>19</v>
      </c>
    </row>
    <row r="286" spans="1:12" hidden="1" x14ac:dyDescent="0.3">
      <c r="A286" s="5" t="s">
        <v>25</v>
      </c>
      <c r="B286" s="6">
        <v>0.8166917592592593</v>
      </c>
      <c r="C286">
        <v>6.57</v>
      </c>
      <c r="D286">
        <v>0.01</v>
      </c>
      <c r="E286">
        <v>9.1999999999999993</v>
      </c>
      <c r="F286">
        <v>0</v>
      </c>
      <c r="G286">
        <v>0.04</v>
      </c>
      <c r="H286">
        <v>0.14000000000000001</v>
      </c>
      <c r="I286">
        <v>0.1</v>
      </c>
      <c r="J286">
        <v>0.18</v>
      </c>
      <c r="K286">
        <v>59.999000000000002</v>
      </c>
      <c r="L286" s="5" t="s">
        <v>19</v>
      </c>
    </row>
    <row r="287" spans="1:12" hidden="1" x14ac:dyDescent="0.3">
      <c r="A287" s="5" t="s">
        <v>25</v>
      </c>
      <c r="B287" s="6">
        <v>0.81670333333333334</v>
      </c>
      <c r="C287">
        <v>6.59</v>
      </c>
      <c r="D287">
        <v>0.01</v>
      </c>
      <c r="E287">
        <v>9.1999999999999993</v>
      </c>
      <c r="F287">
        <v>0</v>
      </c>
      <c r="G287">
        <v>0.04</v>
      </c>
      <c r="H287">
        <v>0.14000000000000001</v>
      </c>
      <c r="I287">
        <v>0.1</v>
      </c>
      <c r="J287">
        <v>0.18</v>
      </c>
      <c r="K287">
        <v>60.000999999999998</v>
      </c>
      <c r="L287" s="5" t="s">
        <v>19</v>
      </c>
    </row>
    <row r="288" spans="1:12" hidden="1" x14ac:dyDescent="0.3">
      <c r="A288" s="5" t="s">
        <v>25</v>
      </c>
      <c r="B288" s="6">
        <v>0.81671490740740738</v>
      </c>
      <c r="C288">
        <v>6.76</v>
      </c>
      <c r="D288">
        <v>0.01</v>
      </c>
      <c r="E288">
        <v>9.5</v>
      </c>
      <c r="F288">
        <v>0</v>
      </c>
      <c r="G288">
        <v>0.04</v>
      </c>
      <c r="H288">
        <v>0.14000000000000001</v>
      </c>
      <c r="I288">
        <v>0.1</v>
      </c>
      <c r="J288">
        <v>0.18</v>
      </c>
      <c r="K288">
        <v>60.002000000000002</v>
      </c>
      <c r="L288" s="5" t="s">
        <v>19</v>
      </c>
    </row>
    <row r="289" spans="1:12" hidden="1" x14ac:dyDescent="0.3">
      <c r="A289" s="5" t="s">
        <v>25</v>
      </c>
      <c r="B289" s="6">
        <v>0.81672648148148153</v>
      </c>
      <c r="C289">
        <v>6.76</v>
      </c>
      <c r="D289">
        <v>0.01</v>
      </c>
      <c r="E289">
        <v>9.5</v>
      </c>
      <c r="F289">
        <v>0</v>
      </c>
      <c r="G289">
        <v>0.04</v>
      </c>
      <c r="H289">
        <v>0.14000000000000001</v>
      </c>
      <c r="I289">
        <v>0.1</v>
      </c>
      <c r="J289">
        <v>0.18</v>
      </c>
      <c r="K289">
        <v>60.003</v>
      </c>
      <c r="L289" s="5" t="s">
        <v>19</v>
      </c>
    </row>
    <row r="290" spans="1:12" hidden="1" x14ac:dyDescent="0.3">
      <c r="A290" s="5" t="s">
        <v>25</v>
      </c>
      <c r="B290" s="6">
        <v>0.81673805555555556</v>
      </c>
      <c r="C290">
        <v>6.76</v>
      </c>
      <c r="D290">
        <v>0.01</v>
      </c>
      <c r="E290">
        <v>9.5</v>
      </c>
      <c r="F290">
        <v>0</v>
      </c>
      <c r="G290">
        <v>0.04</v>
      </c>
      <c r="H290">
        <v>0.14000000000000001</v>
      </c>
      <c r="I290">
        <v>0.1</v>
      </c>
      <c r="J290">
        <v>0.18</v>
      </c>
      <c r="K290">
        <v>60.003</v>
      </c>
      <c r="L290" s="5" t="s">
        <v>19</v>
      </c>
    </row>
    <row r="291" spans="1:12" hidden="1" x14ac:dyDescent="0.3">
      <c r="A291" s="5" t="s">
        <v>25</v>
      </c>
      <c r="B291" s="6">
        <v>0.8167496296296296</v>
      </c>
      <c r="C291">
        <v>6.76</v>
      </c>
      <c r="D291">
        <v>0.01</v>
      </c>
      <c r="E291">
        <v>9.5</v>
      </c>
      <c r="F291">
        <v>0</v>
      </c>
      <c r="G291">
        <v>0.04</v>
      </c>
      <c r="H291">
        <v>0.14000000000000001</v>
      </c>
      <c r="I291">
        <v>0.1</v>
      </c>
      <c r="J291">
        <v>0.18</v>
      </c>
      <c r="K291">
        <v>60.003999999999998</v>
      </c>
      <c r="L291" s="5" t="s">
        <v>19</v>
      </c>
    </row>
    <row r="292" spans="1:12" hidden="1" x14ac:dyDescent="0.3">
      <c r="A292" s="5" t="s">
        <v>25</v>
      </c>
      <c r="B292" s="6">
        <v>0.81676120370370375</v>
      </c>
      <c r="C292">
        <v>6.76</v>
      </c>
      <c r="D292">
        <v>0.01</v>
      </c>
      <c r="E292">
        <v>9.5</v>
      </c>
      <c r="F292">
        <v>0</v>
      </c>
      <c r="G292">
        <v>0.04</v>
      </c>
      <c r="H292">
        <v>0.14000000000000001</v>
      </c>
      <c r="I292">
        <v>0.1</v>
      </c>
      <c r="J292">
        <v>0.18</v>
      </c>
      <c r="K292">
        <v>60.005000000000003</v>
      </c>
      <c r="L292" s="5" t="s">
        <v>19</v>
      </c>
    </row>
    <row r="293" spans="1:12" hidden="1" x14ac:dyDescent="0.3">
      <c r="A293" s="5" t="s">
        <v>25</v>
      </c>
      <c r="B293" s="6">
        <v>0.81677277777777779</v>
      </c>
      <c r="C293">
        <v>6.76</v>
      </c>
      <c r="D293">
        <v>0.01</v>
      </c>
      <c r="E293">
        <v>9.5</v>
      </c>
      <c r="F293">
        <v>0</v>
      </c>
      <c r="G293">
        <v>0.04</v>
      </c>
      <c r="H293">
        <v>0.14000000000000001</v>
      </c>
      <c r="I293">
        <v>0.1</v>
      </c>
      <c r="J293">
        <v>0.18</v>
      </c>
      <c r="K293">
        <v>60.006</v>
      </c>
      <c r="L293" s="5" t="s">
        <v>19</v>
      </c>
    </row>
    <row r="294" spans="1:12" hidden="1" x14ac:dyDescent="0.3">
      <c r="A294" s="5" t="s">
        <v>25</v>
      </c>
      <c r="B294" s="6">
        <v>0.81678435185185183</v>
      </c>
      <c r="C294">
        <v>6.76</v>
      </c>
      <c r="D294">
        <v>0.01</v>
      </c>
      <c r="E294">
        <v>9.5</v>
      </c>
      <c r="F294">
        <v>0</v>
      </c>
      <c r="G294">
        <v>0.04</v>
      </c>
      <c r="H294">
        <v>0.14000000000000001</v>
      </c>
      <c r="I294">
        <v>0.1</v>
      </c>
      <c r="J294">
        <v>0.18</v>
      </c>
      <c r="K294">
        <v>60.006</v>
      </c>
      <c r="L294" s="5" t="s">
        <v>19</v>
      </c>
    </row>
    <row r="295" spans="1:12" hidden="1" x14ac:dyDescent="0.3">
      <c r="A295" s="5" t="s">
        <v>25</v>
      </c>
      <c r="B295" s="6">
        <v>0.81679592592592598</v>
      </c>
      <c r="C295">
        <v>6.76</v>
      </c>
      <c r="D295">
        <v>0.01</v>
      </c>
      <c r="E295">
        <v>9.5</v>
      </c>
      <c r="F295">
        <v>0</v>
      </c>
      <c r="G295">
        <v>0.04</v>
      </c>
      <c r="H295">
        <v>0.14000000000000001</v>
      </c>
      <c r="I295">
        <v>0.1</v>
      </c>
      <c r="J295">
        <v>0.18</v>
      </c>
      <c r="K295">
        <v>60.006</v>
      </c>
      <c r="L295" s="5" t="s">
        <v>19</v>
      </c>
    </row>
    <row r="296" spans="1:12" hidden="1" x14ac:dyDescent="0.3">
      <c r="A296" s="5" t="s">
        <v>25</v>
      </c>
      <c r="B296" s="6">
        <v>0.81680750000000002</v>
      </c>
      <c r="C296">
        <v>6.76</v>
      </c>
      <c r="D296">
        <v>0.01</v>
      </c>
      <c r="E296">
        <v>9.5</v>
      </c>
      <c r="F296">
        <v>0</v>
      </c>
      <c r="G296">
        <v>0.04</v>
      </c>
      <c r="H296">
        <v>0.14000000000000001</v>
      </c>
      <c r="I296">
        <v>0.1</v>
      </c>
      <c r="J296">
        <v>0.18</v>
      </c>
      <c r="K296">
        <v>60.006999999999998</v>
      </c>
      <c r="L296" s="5" t="s">
        <v>19</v>
      </c>
    </row>
    <row r="297" spans="1:12" hidden="1" x14ac:dyDescent="0.3">
      <c r="A297" s="5" t="s">
        <v>25</v>
      </c>
      <c r="B297" s="6">
        <v>0.81681907407407406</v>
      </c>
      <c r="C297">
        <v>6.76</v>
      </c>
      <c r="D297">
        <v>0.01</v>
      </c>
      <c r="E297">
        <v>9.5</v>
      </c>
      <c r="F297">
        <v>0</v>
      </c>
      <c r="G297">
        <v>0.04</v>
      </c>
      <c r="H297">
        <v>0.14000000000000001</v>
      </c>
      <c r="I297">
        <v>0.1</v>
      </c>
      <c r="J297">
        <v>0.18</v>
      </c>
      <c r="K297">
        <v>60.006</v>
      </c>
      <c r="L297" s="5" t="s">
        <v>19</v>
      </c>
    </row>
    <row r="298" spans="1:12" hidden="1" x14ac:dyDescent="0.3">
      <c r="A298" s="5" t="s">
        <v>25</v>
      </c>
      <c r="B298" s="6">
        <v>0.8168306481481481</v>
      </c>
      <c r="C298">
        <v>6.76</v>
      </c>
      <c r="D298">
        <v>0.01</v>
      </c>
      <c r="E298">
        <v>9.5</v>
      </c>
      <c r="F298">
        <v>0</v>
      </c>
      <c r="G298">
        <v>0.04</v>
      </c>
      <c r="H298">
        <v>0.14000000000000001</v>
      </c>
      <c r="I298">
        <v>0.1</v>
      </c>
      <c r="J298">
        <v>0.18</v>
      </c>
      <c r="K298">
        <v>60.006</v>
      </c>
      <c r="L298" s="5" t="s">
        <v>19</v>
      </c>
    </row>
    <row r="299" spans="1:12" hidden="1" x14ac:dyDescent="0.3">
      <c r="A299" s="5" t="s">
        <v>25</v>
      </c>
      <c r="B299" s="6">
        <v>0.81684222222222225</v>
      </c>
      <c r="C299">
        <v>6.76</v>
      </c>
      <c r="D299">
        <v>0.01</v>
      </c>
      <c r="E299">
        <v>9.5</v>
      </c>
      <c r="F299">
        <v>0</v>
      </c>
      <c r="G299">
        <v>0.04</v>
      </c>
      <c r="H299">
        <v>0.14000000000000001</v>
      </c>
      <c r="I299">
        <v>0.1</v>
      </c>
      <c r="J299">
        <v>0.18</v>
      </c>
      <c r="K299">
        <v>60.006</v>
      </c>
      <c r="L299" s="5" t="s">
        <v>19</v>
      </c>
    </row>
    <row r="300" spans="1:12" hidden="1" x14ac:dyDescent="0.3">
      <c r="A300" s="5" t="s">
        <v>25</v>
      </c>
      <c r="B300" s="6">
        <v>0.81685379629629629</v>
      </c>
      <c r="C300">
        <v>6.76</v>
      </c>
      <c r="D300">
        <v>0.01</v>
      </c>
      <c r="E300">
        <v>9.5</v>
      </c>
      <c r="F300">
        <v>0</v>
      </c>
      <c r="G300">
        <v>0.04</v>
      </c>
      <c r="H300">
        <v>0.14000000000000001</v>
      </c>
      <c r="I300">
        <v>0.1</v>
      </c>
      <c r="J300">
        <v>0.18</v>
      </c>
      <c r="K300">
        <v>60.006</v>
      </c>
      <c r="L300" s="5" t="s">
        <v>19</v>
      </c>
    </row>
    <row r="301" spans="1:12" hidden="1" x14ac:dyDescent="0.3">
      <c r="A301" s="5" t="s">
        <v>25</v>
      </c>
      <c r="B301" s="6">
        <v>0.81686537037037033</v>
      </c>
      <c r="C301">
        <v>6.76</v>
      </c>
      <c r="D301">
        <v>0.01</v>
      </c>
      <c r="E301">
        <v>9.5</v>
      </c>
      <c r="F301">
        <v>0</v>
      </c>
      <c r="G301">
        <v>0.04</v>
      </c>
      <c r="H301">
        <v>0.15</v>
      </c>
      <c r="I301">
        <v>0.1</v>
      </c>
      <c r="J301">
        <v>0.18</v>
      </c>
      <c r="K301">
        <v>60.005000000000003</v>
      </c>
      <c r="L301" s="5" t="s">
        <v>19</v>
      </c>
    </row>
    <row r="302" spans="1:12" hidden="1" x14ac:dyDescent="0.3">
      <c r="A302" s="5" t="s">
        <v>25</v>
      </c>
      <c r="B302" s="6">
        <v>0.81687694444444447</v>
      </c>
      <c r="C302">
        <v>6.76</v>
      </c>
      <c r="D302">
        <v>0.01</v>
      </c>
      <c r="E302">
        <v>9.5</v>
      </c>
      <c r="F302">
        <v>0</v>
      </c>
      <c r="G302">
        <v>0.04</v>
      </c>
      <c r="H302">
        <v>0.15</v>
      </c>
      <c r="I302">
        <v>0.1</v>
      </c>
      <c r="J302">
        <v>0.18</v>
      </c>
      <c r="K302">
        <v>60.005000000000003</v>
      </c>
      <c r="L302" s="5" t="s">
        <v>19</v>
      </c>
    </row>
    <row r="303" spans="1:12" hidden="1" x14ac:dyDescent="0.3">
      <c r="A303" s="5" t="s">
        <v>25</v>
      </c>
      <c r="B303" s="6">
        <v>0.81688851851851851</v>
      </c>
      <c r="C303">
        <v>6.76</v>
      </c>
      <c r="D303">
        <v>0.01</v>
      </c>
      <c r="E303">
        <v>9.5</v>
      </c>
      <c r="F303">
        <v>0</v>
      </c>
      <c r="G303">
        <v>0.04</v>
      </c>
      <c r="H303">
        <v>0.15</v>
      </c>
      <c r="I303">
        <v>0.1</v>
      </c>
      <c r="J303">
        <v>0.18</v>
      </c>
      <c r="K303">
        <v>60.005000000000003</v>
      </c>
      <c r="L303" s="5" t="s">
        <v>19</v>
      </c>
    </row>
    <row r="304" spans="1:12" hidden="1" x14ac:dyDescent="0.3">
      <c r="A304" s="5" t="s">
        <v>25</v>
      </c>
      <c r="B304" s="6">
        <v>0.81690009259259255</v>
      </c>
      <c r="C304">
        <v>6.76</v>
      </c>
      <c r="D304">
        <v>0.01</v>
      </c>
      <c r="E304">
        <v>9.5</v>
      </c>
      <c r="F304">
        <v>0</v>
      </c>
      <c r="G304">
        <v>0.04</v>
      </c>
      <c r="H304">
        <v>0.14000000000000001</v>
      </c>
      <c r="I304">
        <v>0.1</v>
      </c>
      <c r="J304">
        <v>0.18</v>
      </c>
      <c r="K304">
        <v>60.005000000000003</v>
      </c>
      <c r="L304" s="5" t="s">
        <v>19</v>
      </c>
    </row>
    <row r="305" spans="1:12" hidden="1" x14ac:dyDescent="0.3">
      <c r="A305" s="5" t="s">
        <v>25</v>
      </c>
      <c r="B305" s="6">
        <v>0.8169116666666667</v>
      </c>
      <c r="C305">
        <v>6.76</v>
      </c>
      <c r="D305">
        <v>0.01</v>
      </c>
      <c r="E305">
        <v>9.5</v>
      </c>
      <c r="F305">
        <v>0</v>
      </c>
      <c r="G305">
        <v>0.04</v>
      </c>
      <c r="H305">
        <v>0.15</v>
      </c>
      <c r="I305">
        <v>0.1</v>
      </c>
      <c r="J305">
        <v>0.18</v>
      </c>
      <c r="K305">
        <v>60.003999999999998</v>
      </c>
      <c r="L305" s="5" t="s">
        <v>19</v>
      </c>
    </row>
    <row r="306" spans="1:12" hidden="1" x14ac:dyDescent="0.3">
      <c r="A306" s="5" t="s">
        <v>25</v>
      </c>
      <c r="B306" s="6">
        <v>0.81692324074074074</v>
      </c>
      <c r="C306">
        <v>6.76</v>
      </c>
      <c r="D306">
        <v>0.01</v>
      </c>
      <c r="E306">
        <v>9.5</v>
      </c>
      <c r="F306">
        <v>0</v>
      </c>
      <c r="G306">
        <v>0.04</v>
      </c>
      <c r="H306">
        <v>0.15</v>
      </c>
      <c r="I306">
        <v>0.1</v>
      </c>
      <c r="J306">
        <v>0.18</v>
      </c>
      <c r="K306">
        <v>60.003999999999998</v>
      </c>
      <c r="L306" s="5" t="s">
        <v>19</v>
      </c>
    </row>
    <row r="307" spans="1:12" hidden="1" x14ac:dyDescent="0.3">
      <c r="A307" s="5" t="s">
        <v>25</v>
      </c>
      <c r="B307" s="6">
        <v>0.81693481481481478</v>
      </c>
      <c r="C307">
        <v>6.76</v>
      </c>
      <c r="D307">
        <v>0.01</v>
      </c>
      <c r="E307">
        <v>9.5</v>
      </c>
      <c r="F307">
        <v>0</v>
      </c>
      <c r="G307">
        <v>0.04</v>
      </c>
      <c r="H307">
        <v>0.15</v>
      </c>
      <c r="I307">
        <v>0.1</v>
      </c>
      <c r="J307">
        <v>0.18</v>
      </c>
      <c r="K307">
        <v>60.003999999999998</v>
      </c>
      <c r="L307" s="5" t="s">
        <v>19</v>
      </c>
    </row>
    <row r="308" spans="1:12" hidden="1" x14ac:dyDescent="0.3">
      <c r="A308" s="5" t="s">
        <v>25</v>
      </c>
      <c r="B308" s="6">
        <v>0.81694638888888893</v>
      </c>
      <c r="C308">
        <v>6.76</v>
      </c>
      <c r="D308">
        <v>0.01</v>
      </c>
      <c r="E308">
        <v>9.5</v>
      </c>
      <c r="F308">
        <v>0</v>
      </c>
      <c r="G308">
        <v>0.04</v>
      </c>
      <c r="H308">
        <v>0.15</v>
      </c>
      <c r="I308">
        <v>0.1</v>
      </c>
      <c r="J308">
        <v>0.18</v>
      </c>
      <c r="K308">
        <v>60.003999999999998</v>
      </c>
      <c r="L308" s="5" t="s">
        <v>19</v>
      </c>
    </row>
    <row r="309" spans="1:12" hidden="1" x14ac:dyDescent="0.3">
      <c r="A309" s="5" t="s">
        <v>25</v>
      </c>
      <c r="B309" s="6">
        <v>0.81695796296296297</v>
      </c>
      <c r="C309">
        <v>6.76</v>
      </c>
      <c r="D309">
        <v>0.01</v>
      </c>
      <c r="E309">
        <v>9.5</v>
      </c>
      <c r="F309">
        <v>0</v>
      </c>
      <c r="G309">
        <v>0.04</v>
      </c>
      <c r="H309">
        <v>0.14000000000000001</v>
      </c>
      <c r="I309">
        <v>0.1</v>
      </c>
      <c r="J309">
        <v>0.18</v>
      </c>
      <c r="K309">
        <v>60.005000000000003</v>
      </c>
      <c r="L309" s="5" t="s">
        <v>19</v>
      </c>
    </row>
    <row r="310" spans="1:12" hidden="1" x14ac:dyDescent="0.3">
      <c r="A310" s="5" t="s">
        <v>25</v>
      </c>
      <c r="B310" s="6">
        <v>0.81696953703703701</v>
      </c>
      <c r="C310">
        <v>6.76</v>
      </c>
      <c r="D310">
        <v>0.01</v>
      </c>
      <c r="E310">
        <v>9.5</v>
      </c>
      <c r="F310">
        <v>0</v>
      </c>
      <c r="G310">
        <v>0.04</v>
      </c>
      <c r="H310">
        <v>0.14000000000000001</v>
      </c>
      <c r="I310">
        <v>0.1</v>
      </c>
      <c r="J310">
        <v>0.18</v>
      </c>
      <c r="K310">
        <v>60.005000000000003</v>
      </c>
      <c r="L310" s="5" t="s">
        <v>19</v>
      </c>
    </row>
    <row r="311" spans="1:12" hidden="1" x14ac:dyDescent="0.3">
      <c r="A311" s="5" t="s">
        <v>25</v>
      </c>
      <c r="B311" s="6">
        <v>0.81698111111111116</v>
      </c>
      <c r="C311">
        <v>6.76</v>
      </c>
      <c r="D311">
        <v>0.01</v>
      </c>
      <c r="E311">
        <v>9.5</v>
      </c>
      <c r="F311">
        <v>0</v>
      </c>
      <c r="G311">
        <v>0.04</v>
      </c>
      <c r="H311">
        <v>0.15</v>
      </c>
      <c r="I311">
        <v>0.1</v>
      </c>
      <c r="J311">
        <v>0.18</v>
      </c>
      <c r="K311">
        <v>60.005000000000003</v>
      </c>
      <c r="L311" s="5" t="s">
        <v>19</v>
      </c>
    </row>
    <row r="312" spans="1:12" hidden="1" x14ac:dyDescent="0.3">
      <c r="A312" s="5" t="s">
        <v>25</v>
      </c>
      <c r="B312" s="6">
        <v>0.8169926851851852</v>
      </c>
      <c r="C312">
        <v>6.76</v>
      </c>
      <c r="D312">
        <v>0.01</v>
      </c>
      <c r="E312">
        <v>9.5</v>
      </c>
      <c r="F312">
        <v>0</v>
      </c>
      <c r="G312">
        <v>0.04</v>
      </c>
      <c r="H312">
        <v>0.15</v>
      </c>
      <c r="I312">
        <v>0.1</v>
      </c>
      <c r="J312">
        <v>0.18</v>
      </c>
      <c r="K312">
        <v>60.005000000000003</v>
      </c>
      <c r="L312" s="5" t="s">
        <v>19</v>
      </c>
    </row>
    <row r="313" spans="1:12" hidden="1" x14ac:dyDescent="0.3">
      <c r="A313" s="5" t="s">
        <v>25</v>
      </c>
      <c r="B313" s="6">
        <v>0.81700425925925924</v>
      </c>
      <c r="C313">
        <v>6.76</v>
      </c>
      <c r="D313">
        <v>0.01</v>
      </c>
      <c r="E313">
        <v>9.5</v>
      </c>
      <c r="F313">
        <v>0</v>
      </c>
      <c r="G313">
        <v>0.04</v>
      </c>
      <c r="H313">
        <v>0.15</v>
      </c>
      <c r="I313">
        <v>0.1</v>
      </c>
      <c r="J313">
        <v>0.18</v>
      </c>
      <c r="K313">
        <v>60.005000000000003</v>
      </c>
      <c r="L313" s="5" t="s">
        <v>19</v>
      </c>
    </row>
    <row r="314" spans="1:12" hidden="1" x14ac:dyDescent="0.3">
      <c r="A314" s="5" t="s">
        <v>25</v>
      </c>
      <c r="B314" s="6">
        <v>0.81701583333333339</v>
      </c>
      <c r="C314">
        <v>6.76</v>
      </c>
      <c r="D314">
        <v>0.01</v>
      </c>
      <c r="E314">
        <v>9.5</v>
      </c>
      <c r="F314">
        <v>0</v>
      </c>
      <c r="G314">
        <v>0.04</v>
      </c>
      <c r="H314">
        <v>0.14000000000000001</v>
      </c>
      <c r="I314">
        <v>0.1</v>
      </c>
      <c r="J314">
        <v>0.18</v>
      </c>
      <c r="K314">
        <v>60.003999999999998</v>
      </c>
      <c r="L314" s="5" t="s">
        <v>19</v>
      </c>
    </row>
    <row r="315" spans="1:12" hidden="1" x14ac:dyDescent="0.3">
      <c r="A315" s="5" t="s">
        <v>25</v>
      </c>
      <c r="B315" s="6">
        <v>0.81702740740740742</v>
      </c>
      <c r="C315">
        <v>6.76</v>
      </c>
      <c r="D315">
        <v>0.01</v>
      </c>
      <c r="E315">
        <v>9.5</v>
      </c>
      <c r="F315">
        <v>0</v>
      </c>
      <c r="G315">
        <v>0.04</v>
      </c>
      <c r="H315">
        <v>0.14000000000000001</v>
      </c>
      <c r="I315">
        <v>0.1</v>
      </c>
      <c r="J315">
        <v>0.18</v>
      </c>
      <c r="K315">
        <v>60.003999999999998</v>
      </c>
      <c r="L315" s="5" t="s">
        <v>19</v>
      </c>
    </row>
    <row r="316" spans="1:12" hidden="1" x14ac:dyDescent="0.3">
      <c r="A316" s="5" t="s">
        <v>25</v>
      </c>
      <c r="B316" s="6">
        <v>0.81703898148148146</v>
      </c>
      <c r="C316">
        <v>6.76</v>
      </c>
      <c r="D316">
        <v>0.01</v>
      </c>
      <c r="E316">
        <v>9.5</v>
      </c>
      <c r="F316">
        <v>0</v>
      </c>
      <c r="G316">
        <v>0.04</v>
      </c>
      <c r="H316">
        <v>0.14000000000000001</v>
      </c>
      <c r="I316">
        <v>0.1</v>
      </c>
      <c r="J316">
        <v>0.18</v>
      </c>
      <c r="K316">
        <v>60.003</v>
      </c>
      <c r="L316" s="5" t="s">
        <v>19</v>
      </c>
    </row>
    <row r="317" spans="1:12" hidden="1" x14ac:dyDescent="0.3">
      <c r="A317" s="5" t="s">
        <v>25</v>
      </c>
      <c r="B317" s="6">
        <v>0.8170505555555555</v>
      </c>
      <c r="C317">
        <v>6.74</v>
      </c>
      <c r="D317">
        <v>0.01</v>
      </c>
      <c r="E317">
        <v>9.5</v>
      </c>
      <c r="F317">
        <v>0</v>
      </c>
      <c r="G317">
        <v>0.04</v>
      </c>
      <c r="H317">
        <v>0.14000000000000001</v>
      </c>
      <c r="I317">
        <v>0.1</v>
      </c>
      <c r="J317">
        <v>0.18</v>
      </c>
      <c r="K317">
        <v>60.003</v>
      </c>
      <c r="L317" s="5" t="s">
        <v>19</v>
      </c>
    </row>
    <row r="318" spans="1:12" hidden="1" x14ac:dyDescent="0.3">
      <c r="A318" s="5" t="s">
        <v>25</v>
      </c>
      <c r="B318" s="6">
        <v>0.81706212962962965</v>
      </c>
      <c r="C318">
        <v>6.61</v>
      </c>
      <c r="D318">
        <v>0.01</v>
      </c>
      <c r="E318">
        <v>9.1999999999999993</v>
      </c>
      <c r="F318">
        <v>0</v>
      </c>
      <c r="G318">
        <v>0.04</v>
      </c>
      <c r="H318">
        <v>0.15</v>
      </c>
      <c r="I318">
        <v>0.1</v>
      </c>
      <c r="J318">
        <v>0.18</v>
      </c>
      <c r="K318">
        <v>60.002000000000002</v>
      </c>
      <c r="L318" s="5" t="s">
        <v>19</v>
      </c>
    </row>
    <row r="319" spans="1:12" hidden="1" x14ac:dyDescent="0.3">
      <c r="A319" s="5" t="s">
        <v>25</v>
      </c>
      <c r="B319" s="6">
        <v>0.81707370370370369</v>
      </c>
      <c r="C319">
        <v>6.61</v>
      </c>
      <c r="D319">
        <v>0.01</v>
      </c>
      <c r="E319">
        <v>9.1999999999999993</v>
      </c>
      <c r="F319">
        <v>0</v>
      </c>
      <c r="G319">
        <v>0.04</v>
      </c>
      <c r="H319">
        <v>0.14000000000000001</v>
      </c>
      <c r="I319">
        <v>0.1</v>
      </c>
      <c r="J319">
        <v>0.18</v>
      </c>
      <c r="K319">
        <v>60.002000000000002</v>
      </c>
      <c r="L319" s="5" t="s">
        <v>19</v>
      </c>
    </row>
    <row r="320" spans="1:12" hidden="1" x14ac:dyDescent="0.3">
      <c r="A320" s="5" t="s">
        <v>25</v>
      </c>
      <c r="B320" s="6">
        <v>0.81708527777777773</v>
      </c>
      <c r="C320">
        <v>6.61</v>
      </c>
      <c r="D320">
        <v>0.01</v>
      </c>
      <c r="E320">
        <v>9.1999999999999993</v>
      </c>
      <c r="F320">
        <v>0</v>
      </c>
      <c r="G320">
        <v>0.04</v>
      </c>
      <c r="H320">
        <v>0.14000000000000001</v>
      </c>
      <c r="I320">
        <v>0.1</v>
      </c>
      <c r="J320">
        <v>0.18</v>
      </c>
      <c r="K320">
        <v>60.000999999999998</v>
      </c>
      <c r="L320" s="5" t="s">
        <v>19</v>
      </c>
    </row>
    <row r="321" spans="1:12" hidden="1" x14ac:dyDescent="0.3">
      <c r="A321" s="5" t="s">
        <v>25</v>
      </c>
      <c r="B321" s="6">
        <v>0.81709685185185188</v>
      </c>
      <c r="C321">
        <v>6.61</v>
      </c>
      <c r="D321">
        <v>0.01</v>
      </c>
      <c r="E321">
        <v>9.1999999999999993</v>
      </c>
      <c r="F321">
        <v>0</v>
      </c>
      <c r="G321">
        <v>0.04</v>
      </c>
      <c r="H321">
        <v>0.14000000000000001</v>
      </c>
      <c r="I321">
        <v>0.1</v>
      </c>
      <c r="J321">
        <v>0.18</v>
      </c>
      <c r="K321">
        <v>60</v>
      </c>
      <c r="L321" s="5" t="s">
        <v>19</v>
      </c>
    </row>
    <row r="322" spans="1:12" hidden="1" x14ac:dyDescent="0.3">
      <c r="A322" s="5" t="s">
        <v>25</v>
      </c>
      <c r="B322" s="6">
        <v>0.81710842592592592</v>
      </c>
      <c r="C322">
        <v>6.61</v>
      </c>
      <c r="D322">
        <v>0.01</v>
      </c>
      <c r="E322">
        <v>9.1999999999999993</v>
      </c>
      <c r="F322">
        <v>0</v>
      </c>
      <c r="G322">
        <v>0.04</v>
      </c>
      <c r="H322">
        <v>0.15</v>
      </c>
      <c r="I322">
        <v>0.1</v>
      </c>
      <c r="J322">
        <v>0.18</v>
      </c>
      <c r="K322">
        <v>59.999000000000002</v>
      </c>
      <c r="L322" s="5" t="s">
        <v>19</v>
      </c>
    </row>
    <row r="323" spans="1:12" hidden="1" x14ac:dyDescent="0.3">
      <c r="A323" s="5" t="s">
        <v>25</v>
      </c>
      <c r="B323" s="6">
        <v>0.81711999999999996</v>
      </c>
      <c r="C323">
        <v>6.58</v>
      </c>
      <c r="D323">
        <v>0.01</v>
      </c>
      <c r="E323">
        <v>9.1999999999999993</v>
      </c>
      <c r="F323">
        <v>0</v>
      </c>
      <c r="G323">
        <v>0.04</v>
      </c>
      <c r="H323">
        <v>0.14000000000000001</v>
      </c>
      <c r="I323">
        <v>0.1</v>
      </c>
      <c r="J323">
        <v>0.18</v>
      </c>
      <c r="K323">
        <v>59.999000000000002</v>
      </c>
      <c r="L323" s="5" t="s">
        <v>19</v>
      </c>
    </row>
    <row r="324" spans="1:12" hidden="1" x14ac:dyDescent="0.3">
      <c r="A324" s="5" t="s">
        <v>25</v>
      </c>
      <c r="B324" s="6">
        <v>0.81713157407407411</v>
      </c>
      <c r="C324">
        <v>6.58</v>
      </c>
      <c r="D324">
        <v>0.01</v>
      </c>
      <c r="E324">
        <v>9.1999999999999993</v>
      </c>
      <c r="F324">
        <v>0</v>
      </c>
      <c r="G324">
        <v>0.04</v>
      </c>
      <c r="H324">
        <v>0.14000000000000001</v>
      </c>
      <c r="I324">
        <v>0.1</v>
      </c>
      <c r="J324">
        <v>0.18</v>
      </c>
      <c r="K324">
        <v>59.997999999999998</v>
      </c>
      <c r="L324" s="5" t="s">
        <v>19</v>
      </c>
    </row>
    <row r="325" spans="1:12" hidden="1" x14ac:dyDescent="0.3">
      <c r="A325" s="5" t="s">
        <v>25</v>
      </c>
      <c r="B325" s="6">
        <v>0.81714314814814815</v>
      </c>
      <c r="C325">
        <v>6.58</v>
      </c>
      <c r="D325">
        <v>0.01</v>
      </c>
      <c r="E325">
        <v>9.1999999999999993</v>
      </c>
      <c r="F325">
        <v>0</v>
      </c>
      <c r="G325">
        <v>0.04</v>
      </c>
      <c r="H325">
        <v>0.15</v>
      </c>
      <c r="I325">
        <v>0.1</v>
      </c>
      <c r="J325">
        <v>0.18</v>
      </c>
      <c r="K325">
        <v>59.997999999999998</v>
      </c>
      <c r="L325" s="5" t="s">
        <v>19</v>
      </c>
    </row>
    <row r="326" spans="1:12" hidden="1" x14ac:dyDescent="0.3">
      <c r="A326" s="5" t="s">
        <v>25</v>
      </c>
      <c r="B326" s="6">
        <v>0.81715472222222219</v>
      </c>
      <c r="C326">
        <v>6.58</v>
      </c>
      <c r="D326">
        <v>0.01</v>
      </c>
      <c r="E326">
        <v>9.1999999999999993</v>
      </c>
      <c r="F326">
        <v>0</v>
      </c>
      <c r="G326">
        <v>0.04</v>
      </c>
      <c r="H326">
        <v>0.15</v>
      </c>
      <c r="I326">
        <v>0.1</v>
      </c>
      <c r="J326">
        <v>0.18</v>
      </c>
      <c r="K326">
        <v>59.997999999999998</v>
      </c>
      <c r="L326" s="5" t="s">
        <v>19</v>
      </c>
    </row>
    <row r="327" spans="1:12" hidden="1" x14ac:dyDescent="0.3">
      <c r="A327" s="5" t="s">
        <v>25</v>
      </c>
      <c r="B327" s="6">
        <v>0.81716629629629634</v>
      </c>
      <c r="C327">
        <v>6.47</v>
      </c>
      <c r="D327">
        <v>0.01</v>
      </c>
      <c r="E327">
        <v>9.1999999999999993</v>
      </c>
      <c r="F327">
        <v>0</v>
      </c>
      <c r="G327">
        <v>0.04</v>
      </c>
      <c r="H327">
        <v>0.15</v>
      </c>
      <c r="I327">
        <v>0.1</v>
      </c>
      <c r="J327">
        <v>0.18</v>
      </c>
      <c r="K327">
        <v>59.997999999999998</v>
      </c>
      <c r="L327" s="5" t="s">
        <v>19</v>
      </c>
    </row>
    <row r="328" spans="1:12" hidden="1" x14ac:dyDescent="0.3">
      <c r="A328" s="5" t="s">
        <v>25</v>
      </c>
      <c r="B328" s="6">
        <v>0.81717787037037037</v>
      </c>
      <c r="C328">
        <v>5.73</v>
      </c>
      <c r="D328">
        <v>0.01</v>
      </c>
      <c r="E328">
        <v>7.9</v>
      </c>
      <c r="F328">
        <v>0</v>
      </c>
      <c r="G328">
        <v>0.04</v>
      </c>
      <c r="H328">
        <v>0.14000000000000001</v>
      </c>
      <c r="I328">
        <v>0.1</v>
      </c>
      <c r="J328">
        <v>0.18</v>
      </c>
      <c r="K328">
        <v>59.997</v>
      </c>
      <c r="L328" s="5" t="s">
        <v>19</v>
      </c>
    </row>
    <row r="329" spans="1:12" hidden="1" x14ac:dyDescent="0.3">
      <c r="A329" s="5" t="s">
        <v>25</v>
      </c>
      <c r="B329" s="6">
        <v>0.81718944444444441</v>
      </c>
      <c r="C329">
        <v>5.73</v>
      </c>
      <c r="D329">
        <v>0.01</v>
      </c>
      <c r="E329">
        <v>7.9</v>
      </c>
      <c r="F329">
        <v>0</v>
      </c>
      <c r="G329">
        <v>0.04</v>
      </c>
      <c r="H329">
        <v>0.14000000000000001</v>
      </c>
      <c r="I329">
        <v>0.1</v>
      </c>
      <c r="J329">
        <v>0.18</v>
      </c>
      <c r="K329">
        <v>59.997</v>
      </c>
      <c r="L329" s="5" t="s">
        <v>19</v>
      </c>
    </row>
    <row r="330" spans="1:12" hidden="1" x14ac:dyDescent="0.3">
      <c r="A330" s="5" t="s">
        <v>25</v>
      </c>
      <c r="B330" s="6">
        <v>0.81720101851851856</v>
      </c>
      <c r="C330">
        <v>5.73</v>
      </c>
      <c r="D330">
        <v>0.01</v>
      </c>
      <c r="E330">
        <v>7.9</v>
      </c>
      <c r="F330">
        <v>0</v>
      </c>
      <c r="G330">
        <v>0.04</v>
      </c>
      <c r="H330">
        <v>0.14000000000000001</v>
      </c>
      <c r="I330">
        <v>0.1</v>
      </c>
      <c r="J330">
        <v>0.18</v>
      </c>
      <c r="K330">
        <v>59.997</v>
      </c>
      <c r="L330" s="5" t="s">
        <v>19</v>
      </c>
    </row>
    <row r="331" spans="1:12" hidden="1" x14ac:dyDescent="0.3">
      <c r="A331" s="5" t="s">
        <v>25</v>
      </c>
      <c r="B331" s="6">
        <v>0.8172125925925926</v>
      </c>
      <c r="C331">
        <v>5.73</v>
      </c>
      <c r="D331">
        <v>0.01</v>
      </c>
      <c r="E331">
        <v>7.9</v>
      </c>
      <c r="F331">
        <v>0</v>
      </c>
      <c r="G331">
        <v>0.04</v>
      </c>
      <c r="H331">
        <v>0.14000000000000001</v>
      </c>
      <c r="I331">
        <v>0.1</v>
      </c>
      <c r="J331">
        <v>0.18</v>
      </c>
      <c r="K331">
        <v>59.997</v>
      </c>
      <c r="L331" s="5" t="s">
        <v>19</v>
      </c>
    </row>
    <row r="332" spans="1:12" hidden="1" x14ac:dyDescent="0.3">
      <c r="A332" s="5" t="s">
        <v>25</v>
      </c>
      <c r="B332" s="6">
        <v>0.81722416666666664</v>
      </c>
      <c r="C332">
        <v>5.63</v>
      </c>
      <c r="D332">
        <v>0.01</v>
      </c>
      <c r="E332">
        <v>7.9</v>
      </c>
      <c r="F332">
        <v>0</v>
      </c>
      <c r="G332">
        <v>0.04</v>
      </c>
      <c r="H332">
        <v>0.14000000000000001</v>
      </c>
      <c r="I332">
        <v>0.1</v>
      </c>
      <c r="J332">
        <v>0.18</v>
      </c>
      <c r="K332">
        <v>59.996000000000002</v>
      </c>
      <c r="L332" s="5" t="s">
        <v>19</v>
      </c>
    </row>
    <row r="333" spans="1:12" hidden="1" x14ac:dyDescent="0.3">
      <c r="A333" s="5" t="s">
        <v>25</v>
      </c>
      <c r="B333" s="6">
        <v>0.81723574074074079</v>
      </c>
      <c r="C333">
        <v>4.9800000000000004</v>
      </c>
      <c r="D333">
        <v>0.01</v>
      </c>
      <c r="E333">
        <v>6.8</v>
      </c>
      <c r="F333">
        <v>0</v>
      </c>
      <c r="G333">
        <v>0.04</v>
      </c>
      <c r="H333">
        <v>0.14000000000000001</v>
      </c>
      <c r="I333">
        <v>0.1</v>
      </c>
      <c r="J333">
        <v>0.18</v>
      </c>
      <c r="K333">
        <v>59.996000000000002</v>
      </c>
      <c r="L333" s="5" t="s">
        <v>19</v>
      </c>
    </row>
    <row r="334" spans="1:12" hidden="1" x14ac:dyDescent="0.3">
      <c r="A334" s="5" t="s">
        <v>25</v>
      </c>
      <c r="B334" s="6">
        <v>0.81724731481481483</v>
      </c>
      <c r="C334">
        <v>4.9800000000000004</v>
      </c>
      <c r="D334">
        <v>0.01</v>
      </c>
      <c r="E334">
        <v>6.8</v>
      </c>
      <c r="F334">
        <v>0</v>
      </c>
      <c r="G334">
        <v>0.04</v>
      </c>
      <c r="H334">
        <v>0.14000000000000001</v>
      </c>
      <c r="I334">
        <v>0.1</v>
      </c>
      <c r="J334">
        <v>0.18</v>
      </c>
      <c r="K334">
        <v>59.996000000000002</v>
      </c>
      <c r="L334" s="5" t="s">
        <v>19</v>
      </c>
    </row>
    <row r="335" spans="1:12" hidden="1" x14ac:dyDescent="0.3">
      <c r="A335" s="5" t="s">
        <v>25</v>
      </c>
      <c r="B335" s="6">
        <v>0.81725888888888887</v>
      </c>
      <c r="C335">
        <v>4.9800000000000004</v>
      </c>
      <c r="D335">
        <v>0.01</v>
      </c>
      <c r="E335">
        <v>6.8</v>
      </c>
      <c r="F335">
        <v>0</v>
      </c>
      <c r="G335">
        <v>0.04</v>
      </c>
      <c r="H335">
        <v>0.14000000000000001</v>
      </c>
      <c r="I335">
        <v>0.1</v>
      </c>
      <c r="J335">
        <v>0.18</v>
      </c>
      <c r="K335">
        <v>59.996000000000002</v>
      </c>
      <c r="L335" s="5" t="s">
        <v>19</v>
      </c>
    </row>
    <row r="336" spans="1:12" hidden="1" x14ac:dyDescent="0.3">
      <c r="A336" s="5" t="s">
        <v>25</v>
      </c>
      <c r="B336" s="6">
        <v>0.81727046296296302</v>
      </c>
      <c r="C336">
        <v>4.97</v>
      </c>
      <c r="D336">
        <v>0.01</v>
      </c>
      <c r="E336">
        <v>6.8</v>
      </c>
      <c r="F336">
        <v>0</v>
      </c>
      <c r="G336">
        <v>0.04</v>
      </c>
      <c r="H336">
        <v>0.14000000000000001</v>
      </c>
      <c r="I336">
        <v>0.1</v>
      </c>
      <c r="J336">
        <v>0.18</v>
      </c>
      <c r="K336">
        <v>59.996000000000002</v>
      </c>
      <c r="L336" s="5" t="s">
        <v>19</v>
      </c>
    </row>
    <row r="337" spans="1:12" hidden="1" x14ac:dyDescent="0.3">
      <c r="A337" s="5" t="s">
        <v>25</v>
      </c>
      <c r="B337" s="6">
        <v>0.81728203703703706</v>
      </c>
      <c r="C337">
        <v>4.88</v>
      </c>
      <c r="D337">
        <v>0.01</v>
      </c>
      <c r="E337">
        <v>6.8</v>
      </c>
      <c r="F337">
        <v>0</v>
      </c>
      <c r="G337">
        <v>0.04</v>
      </c>
      <c r="H337">
        <v>0.14000000000000001</v>
      </c>
      <c r="I337">
        <v>0.1</v>
      </c>
      <c r="J337">
        <v>0.18</v>
      </c>
      <c r="K337">
        <v>59.996000000000002</v>
      </c>
      <c r="L337" s="5" t="s">
        <v>19</v>
      </c>
    </row>
    <row r="338" spans="1:12" hidden="1" x14ac:dyDescent="0.3">
      <c r="A338" s="5" t="s">
        <v>25</v>
      </c>
      <c r="B338" s="6">
        <v>0.8172936111111111</v>
      </c>
      <c r="C338">
        <v>4.32</v>
      </c>
      <c r="D338">
        <v>0.01</v>
      </c>
      <c r="E338">
        <v>5.8</v>
      </c>
      <c r="F338">
        <v>0</v>
      </c>
      <c r="G338">
        <v>0.04</v>
      </c>
      <c r="H338">
        <v>0.14000000000000001</v>
      </c>
      <c r="I338">
        <v>0.1</v>
      </c>
      <c r="J338">
        <v>0.18</v>
      </c>
      <c r="K338">
        <v>59.996000000000002</v>
      </c>
      <c r="L338" s="5" t="s">
        <v>19</v>
      </c>
    </row>
    <row r="339" spans="1:12" hidden="1" x14ac:dyDescent="0.3">
      <c r="A339" s="5" t="s">
        <v>25</v>
      </c>
      <c r="B339" s="6">
        <v>0.81730518518518513</v>
      </c>
      <c r="C339">
        <v>4.3499999999999996</v>
      </c>
      <c r="D339">
        <v>0.01</v>
      </c>
      <c r="E339">
        <v>5.9</v>
      </c>
      <c r="F339">
        <v>0</v>
      </c>
      <c r="G339">
        <v>0.04</v>
      </c>
      <c r="H339">
        <v>0.14000000000000001</v>
      </c>
      <c r="I339">
        <v>0.1</v>
      </c>
      <c r="J339">
        <v>0.18</v>
      </c>
      <c r="K339">
        <v>59.996000000000002</v>
      </c>
      <c r="L339" s="5" t="s">
        <v>19</v>
      </c>
    </row>
    <row r="340" spans="1:12" hidden="1" x14ac:dyDescent="0.3">
      <c r="A340" s="5" t="s">
        <v>25</v>
      </c>
      <c r="B340" s="6">
        <v>0.81731675925925928</v>
      </c>
      <c r="C340">
        <v>4.3499999999999996</v>
      </c>
      <c r="D340">
        <v>0.01</v>
      </c>
      <c r="E340">
        <v>5.9</v>
      </c>
      <c r="F340">
        <v>0</v>
      </c>
      <c r="G340">
        <v>0.04</v>
      </c>
      <c r="H340">
        <v>0.14000000000000001</v>
      </c>
      <c r="I340">
        <v>0.1</v>
      </c>
      <c r="J340">
        <v>0.18</v>
      </c>
      <c r="K340">
        <v>59.997</v>
      </c>
      <c r="L340" s="5" t="s">
        <v>19</v>
      </c>
    </row>
    <row r="341" spans="1:12" hidden="1" x14ac:dyDescent="0.3">
      <c r="A341" s="5" t="s">
        <v>25</v>
      </c>
      <c r="B341" s="6">
        <v>0.81732833333333332</v>
      </c>
      <c r="C341">
        <v>4.34</v>
      </c>
      <c r="D341">
        <v>0.01</v>
      </c>
      <c r="E341">
        <v>5.9</v>
      </c>
      <c r="F341">
        <v>0</v>
      </c>
      <c r="G341">
        <v>0.04</v>
      </c>
      <c r="H341">
        <v>0.14000000000000001</v>
      </c>
      <c r="I341">
        <v>0.1</v>
      </c>
      <c r="J341">
        <v>0.18</v>
      </c>
      <c r="K341">
        <v>59.997</v>
      </c>
      <c r="L341" s="5" t="s">
        <v>19</v>
      </c>
    </row>
    <row r="342" spans="1:12" hidden="1" x14ac:dyDescent="0.3">
      <c r="A342" s="5" t="s">
        <v>25</v>
      </c>
      <c r="B342" s="6">
        <v>0.81733990740740736</v>
      </c>
      <c r="C342">
        <v>4.34</v>
      </c>
      <c r="D342">
        <v>0.01</v>
      </c>
      <c r="E342">
        <v>5.9</v>
      </c>
      <c r="F342">
        <v>0</v>
      </c>
      <c r="G342">
        <v>0.04</v>
      </c>
      <c r="H342">
        <v>0.14000000000000001</v>
      </c>
      <c r="I342">
        <v>0.1</v>
      </c>
      <c r="J342">
        <v>0.18</v>
      </c>
      <c r="K342">
        <v>59.997999999999998</v>
      </c>
      <c r="L342" s="5" t="s">
        <v>19</v>
      </c>
    </row>
    <row r="343" spans="1:12" hidden="1" x14ac:dyDescent="0.3">
      <c r="A343" s="5" t="s">
        <v>25</v>
      </c>
      <c r="B343" s="6">
        <v>0.81735148148148151</v>
      </c>
      <c r="C343">
        <v>4.33</v>
      </c>
      <c r="D343">
        <v>0.01</v>
      </c>
      <c r="E343">
        <v>5.9</v>
      </c>
      <c r="F343">
        <v>0</v>
      </c>
      <c r="G343">
        <v>0.04</v>
      </c>
      <c r="H343">
        <v>0.14000000000000001</v>
      </c>
      <c r="I343">
        <v>0.1</v>
      </c>
      <c r="J343">
        <v>0.18</v>
      </c>
      <c r="K343">
        <v>59.999000000000002</v>
      </c>
      <c r="L343" s="5" t="s">
        <v>19</v>
      </c>
    </row>
    <row r="344" spans="1:12" hidden="1" x14ac:dyDescent="0.3">
      <c r="A344" s="5" t="s">
        <v>25</v>
      </c>
      <c r="B344" s="6">
        <v>0.81736305555555555</v>
      </c>
      <c r="C344">
        <v>4.32</v>
      </c>
      <c r="D344">
        <v>0.01</v>
      </c>
      <c r="E344">
        <v>5.9</v>
      </c>
      <c r="F344">
        <v>0</v>
      </c>
      <c r="G344">
        <v>0.04</v>
      </c>
      <c r="H344">
        <v>0.14000000000000001</v>
      </c>
      <c r="I344">
        <v>0.1</v>
      </c>
      <c r="J344">
        <v>0.18</v>
      </c>
      <c r="K344">
        <v>59.999000000000002</v>
      </c>
      <c r="L344" s="5" t="s">
        <v>19</v>
      </c>
    </row>
    <row r="345" spans="1:12" hidden="1" x14ac:dyDescent="0.3">
      <c r="A345" s="5" t="s">
        <v>25</v>
      </c>
      <c r="B345" s="6">
        <v>0.81737462962962959</v>
      </c>
      <c r="C345">
        <v>4.34</v>
      </c>
      <c r="D345">
        <v>0.01</v>
      </c>
      <c r="E345">
        <v>5.9</v>
      </c>
      <c r="F345">
        <v>0</v>
      </c>
      <c r="G345">
        <v>0.04</v>
      </c>
      <c r="H345">
        <v>0.14000000000000001</v>
      </c>
      <c r="I345">
        <v>0.1</v>
      </c>
      <c r="J345">
        <v>0.18</v>
      </c>
      <c r="K345">
        <v>60</v>
      </c>
      <c r="L345" s="5" t="s">
        <v>19</v>
      </c>
    </row>
    <row r="346" spans="1:12" hidden="1" x14ac:dyDescent="0.3">
      <c r="A346" s="5" t="s">
        <v>25</v>
      </c>
      <c r="B346" s="6">
        <v>0.81738620370370374</v>
      </c>
      <c r="C346">
        <v>4.34</v>
      </c>
      <c r="D346">
        <v>0.01</v>
      </c>
      <c r="E346">
        <v>5.9</v>
      </c>
      <c r="F346">
        <v>0</v>
      </c>
      <c r="G346">
        <v>0.04</v>
      </c>
      <c r="H346">
        <v>0.14000000000000001</v>
      </c>
      <c r="I346">
        <v>0.1</v>
      </c>
      <c r="J346">
        <v>0.18</v>
      </c>
      <c r="K346">
        <v>60.000999999999998</v>
      </c>
      <c r="L346" s="5" t="s">
        <v>19</v>
      </c>
    </row>
    <row r="347" spans="1:12" hidden="1" x14ac:dyDescent="0.3">
      <c r="A347" s="5" t="s">
        <v>25</v>
      </c>
      <c r="B347" s="6">
        <v>0.81739777777777778</v>
      </c>
      <c r="C347">
        <v>4.33</v>
      </c>
      <c r="D347">
        <v>0.01</v>
      </c>
      <c r="E347">
        <v>5.9</v>
      </c>
      <c r="F347">
        <v>0</v>
      </c>
      <c r="G347">
        <v>0.04</v>
      </c>
      <c r="H347">
        <v>0.14000000000000001</v>
      </c>
      <c r="I347">
        <v>0.1</v>
      </c>
      <c r="J347">
        <v>0.18</v>
      </c>
      <c r="K347">
        <v>60.002000000000002</v>
      </c>
      <c r="L347" s="5" t="s">
        <v>19</v>
      </c>
    </row>
    <row r="348" spans="1:12" hidden="1" x14ac:dyDescent="0.3">
      <c r="A348" s="5" t="s">
        <v>25</v>
      </c>
      <c r="B348" s="6">
        <v>0.81740935185185182</v>
      </c>
      <c r="C348">
        <v>4.33</v>
      </c>
      <c r="D348">
        <v>0.01</v>
      </c>
      <c r="E348">
        <v>5.8</v>
      </c>
      <c r="F348">
        <v>0</v>
      </c>
      <c r="G348">
        <v>0.04</v>
      </c>
      <c r="H348">
        <v>0.14000000000000001</v>
      </c>
      <c r="I348">
        <v>0.1</v>
      </c>
      <c r="J348">
        <v>0.18</v>
      </c>
      <c r="K348">
        <v>60.003</v>
      </c>
      <c r="L348" s="5" t="s">
        <v>19</v>
      </c>
    </row>
    <row r="349" spans="1:12" hidden="1" x14ac:dyDescent="0.3">
      <c r="A349" s="5" t="s">
        <v>25</v>
      </c>
      <c r="B349" s="6">
        <v>0.81742092592592597</v>
      </c>
      <c r="C349">
        <v>4.33</v>
      </c>
      <c r="D349">
        <v>0.01</v>
      </c>
      <c r="E349">
        <v>5.8</v>
      </c>
      <c r="F349">
        <v>0</v>
      </c>
      <c r="G349">
        <v>0.04</v>
      </c>
      <c r="H349">
        <v>0.14000000000000001</v>
      </c>
      <c r="I349">
        <v>0.1</v>
      </c>
      <c r="J349">
        <v>0.18</v>
      </c>
      <c r="K349">
        <v>60.003999999999998</v>
      </c>
      <c r="L349" s="5" t="s">
        <v>19</v>
      </c>
    </row>
    <row r="350" spans="1:12" hidden="1" x14ac:dyDescent="0.3">
      <c r="A350" s="5" t="s">
        <v>25</v>
      </c>
      <c r="B350" s="6">
        <v>0.81743250000000001</v>
      </c>
      <c r="C350">
        <v>4.32</v>
      </c>
      <c r="D350">
        <v>0.01</v>
      </c>
      <c r="E350">
        <v>5.8</v>
      </c>
      <c r="F350">
        <v>0</v>
      </c>
      <c r="G350">
        <v>0.04</v>
      </c>
      <c r="H350">
        <v>0.14000000000000001</v>
      </c>
      <c r="I350">
        <v>0.1</v>
      </c>
      <c r="J350">
        <v>0.18</v>
      </c>
      <c r="K350">
        <v>60.005000000000003</v>
      </c>
      <c r="L350" s="5" t="s">
        <v>19</v>
      </c>
    </row>
    <row r="351" spans="1:12" hidden="1" x14ac:dyDescent="0.3">
      <c r="A351" s="5" t="s">
        <v>25</v>
      </c>
      <c r="B351" s="6">
        <v>0.81744407407407405</v>
      </c>
      <c r="C351">
        <v>4.33</v>
      </c>
      <c r="D351">
        <v>0.01</v>
      </c>
      <c r="E351">
        <v>5.8</v>
      </c>
      <c r="F351">
        <v>0</v>
      </c>
      <c r="G351">
        <v>0.04</v>
      </c>
      <c r="H351">
        <v>0.14000000000000001</v>
      </c>
      <c r="I351">
        <v>0.1</v>
      </c>
      <c r="J351">
        <v>0.18</v>
      </c>
      <c r="K351">
        <v>60.005000000000003</v>
      </c>
      <c r="L351" s="5" t="s">
        <v>19</v>
      </c>
    </row>
    <row r="352" spans="1:12" hidden="1" x14ac:dyDescent="0.3">
      <c r="A352" s="5" t="s">
        <v>25</v>
      </c>
      <c r="B352" s="6">
        <v>0.8174556481481482</v>
      </c>
      <c r="C352">
        <v>4.32</v>
      </c>
      <c r="D352">
        <v>0.01</v>
      </c>
      <c r="E352">
        <v>5.8</v>
      </c>
      <c r="F352">
        <v>0</v>
      </c>
      <c r="G352">
        <v>0.04</v>
      </c>
      <c r="H352">
        <v>0.14000000000000001</v>
      </c>
      <c r="I352">
        <v>0.1</v>
      </c>
      <c r="J352">
        <v>0.18</v>
      </c>
      <c r="K352">
        <v>60.006</v>
      </c>
      <c r="L352" s="5" t="s">
        <v>19</v>
      </c>
    </row>
    <row r="353" spans="1:12" hidden="1" x14ac:dyDescent="0.3">
      <c r="A353" s="5" t="s">
        <v>25</v>
      </c>
      <c r="B353" s="6">
        <v>0.81746722222222223</v>
      </c>
      <c r="C353">
        <v>4.32</v>
      </c>
      <c r="D353">
        <v>0.01</v>
      </c>
      <c r="E353">
        <v>5.8</v>
      </c>
      <c r="F353">
        <v>0</v>
      </c>
      <c r="G353">
        <v>0.04</v>
      </c>
      <c r="H353">
        <v>0.15</v>
      </c>
      <c r="I353">
        <v>0.1</v>
      </c>
      <c r="J353">
        <v>0.18</v>
      </c>
      <c r="K353">
        <v>60.006999999999998</v>
      </c>
      <c r="L353" s="5" t="s">
        <v>19</v>
      </c>
    </row>
    <row r="354" spans="1:12" hidden="1" x14ac:dyDescent="0.3">
      <c r="A354" s="5" t="s">
        <v>25</v>
      </c>
      <c r="B354" s="6">
        <v>0.81747879629629627</v>
      </c>
      <c r="C354">
        <v>4.32</v>
      </c>
      <c r="D354">
        <v>0.01</v>
      </c>
      <c r="E354">
        <v>5.8</v>
      </c>
      <c r="F354">
        <v>0</v>
      </c>
      <c r="G354">
        <v>0.04</v>
      </c>
      <c r="H354">
        <v>0.14000000000000001</v>
      </c>
      <c r="I354">
        <v>0.1</v>
      </c>
      <c r="J354">
        <v>0.18</v>
      </c>
      <c r="K354">
        <v>60.006999999999998</v>
      </c>
      <c r="L354" s="5" t="s">
        <v>19</v>
      </c>
    </row>
    <row r="355" spans="1:12" hidden="1" x14ac:dyDescent="0.3">
      <c r="A355" s="5" t="s">
        <v>25</v>
      </c>
      <c r="B355" s="6">
        <v>0.81749037037037042</v>
      </c>
      <c r="C355">
        <v>4.33</v>
      </c>
      <c r="D355">
        <v>0.01</v>
      </c>
      <c r="E355">
        <v>5.8</v>
      </c>
      <c r="F355">
        <v>0</v>
      </c>
      <c r="G355">
        <v>0.04</v>
      </c>
      <c r="H355">
        <v>0.15</v>
      </c>
      <c r="I355">
        <v>0.1</v>
      </c>
      <c r="J355">
        <v>0.18</v>
      </c>
      <c r="K355">
        <v>60.006999999999998</v>
      </c>
      <c r="L355" s="5" t="s">
        <v>19</v>
      </c>
    </row>
    <row r="356" spans="1:12" hidden="1" x14ac:dyDescent="0.3">
      <c r="A356" s="5" t="s">
        <v>25</v>
      </c>
      <c r="B356" s="6">
        <v>0.81750194444444446</v>
      </c>
      <c r="C356">
        <v>4.33</v>
      </c>
      <c r="D356">
        <v>0.01</v>
      </c>
      <c r="E356">
        <v>5.8</v>
      </c>
      <c r="F356">
        <v>0</v>
      </c>
      <c r="G356">
        <v>0.04</v>
      </c>
      <c r="H356">
        <v>0.14000000000000001</v>
      </c>
      <c r="I356">
        <v>0.1</v>
      </c>
      <c r="J356">
        <v>0.18</v>
      </c>
      <c r="K356">
        <v>60.008000000000003</v>
      </c>
      <c r="L356" s="5" t="s">
        <v>19</v>
      </c>
    </row>
    <row r="357" spans="1:12" hidden="1" x14ac:dyDescent="0.3">
      <c r="A357" s="5" t="s">
        <v>25</v>
      </c>
      <c r="B357" s="6">
        <v>0.8175135185185185</v>
      </c>
      <c r="C357">
        <v>4.33</v>
      </c>
      <c r="D357">
        <v>0.01</v>
      </c>
      <c r="E357">
        <v>5.8</v>
      </c>
      <c r="F357">
        <v>0</v>
      </c>
      <c r="G357">
        <v>0.04</v>
      </c>
      <c r="H357">
        <v>0.14000000000000001</v>
      </c>
      <c r="I357">
        <v>0.1</v>
      </c>
      <c r="J357">
        <v>0.18</v>
      </c>
      <c r="K357">
        <v>60.008000000000003</v>
      </c>
      <c r="L357" s="5" t="s">
        <v>19</v>
      </c>
    </row>
    <row r="358" spans="1:12" hidden="1" x14ac:dyDescent="0.3">
      <c r="A358" s="5" t="s">
        <v>25</v>
      </c>
      <c r="B358" s="6">
        <v>0.81752509259259254</v>
      </c>
      <c r="C358">
        <v>4.33</v>
      </c>
      <c r="D358">
        <v>0.01</v>
      </c>
      <c r="E358">
        <v>5.8</v>
      </c>
      <c r="F358">
        <v>0</v>
      </c>
      <c r="G358">
        <v>0.04</v>
      </c>
      <c r="H358">
        <v>0.14000000000000001</v>
      </c>
      <c r="I358">
        <v>0.1</v>
      </c>
      <c r="J358">
        <v>0.18</v>
      </c>
      <c r="K358">
        <v>60.008000000000003</v>
      </c>
      <c r="L358" s="5" t="s">
        <v>19</v>
      </c>
    </row>
    <row r="359" spans="1:12" hidden="1" x14ac:dyDescent="0.3">
      <c r="A359" s="5" t="s">
        <v>25</v>
      </c>
      <c r="B359" s="6">
        <v>0.81753666666666669</v>
      </c>
      <c r="C359">
        <v>4.33</v>
      </c>
      <c r="D359">
        <v>0.01</v>
      </c>
      <c r="E359">
        <v>5.8</v>
      </c>
      <c r="F359">
        <v>0</v>
      </c>
      <c r="G359">
        <v>0.04</v>
      </c>
      <c r="H359">
        <v>0.14000000000000001</v>
      </c>
      <c r="I359">
        <v>0.1</v>
      </c>
      <c r="J359">
        <v>0.18</v>
      </c>
      <c r="K359">
        <v>60.008000000000003</v>
      </c>
      <c r="L359" s="5" t="s">
        <v>19</v>
      </c>
    </row>
    <row r="360" spans="1:12" hidden="1" x14ac:dyDescent="0.3">
      <c r="A360" s="5" t="s">
        <v>25</v>
      </c>
      <c r="B360" s="6">
        <v>0.81754824074074073</v>
      </c>
      <c r="C360">
        <v>4.3</v>
      </c>
      <c r="D360">
        <v>0.01</v>
      </c>
      <c r="E360">
        <v>5.8</v>
      </c>
      <c r="F360">
        <v>0</v>
      </c>
      <c r="G360">
        <v>0.04</v>
      </c>
      <c r="H360">
        <v>0.14000000000000001</v>
      </c>
      <c r="I360">
        <v>0.1</v>
      </c>
      <c r="J360">
        <v>0.18</v>
      </c>
      <c r="K360">
        <v>60.008000000000003</v>
      </c>
      <c r="L360" s="5" t="s">
        <v>19</v>
      </c>
    </row>
    <row r="361" spans="1:12" hidden="1" x14ac:dyDescent="0.3">
      <c r="A361" s="5" t="s">
        <v>25</v>
      </c>
      <c r="B361" s="6">
        <v>0.81755981481481477</v>
      </c>
      <c r="C361">
        <v>4.28</v>
      </c>
      <c r="D361">
        <v>0.01</v>
      </c>
      <c r="E361">
        <v>5.8</v>
      </c>
      <c r="F361">
        <v>0</v>
      </c>
      <c r="G361">
        <v>0.04</v>
      </c>
      <c r="H361">
        <v>0.14000000000000001</v>
      </c>
      <c r="I361">
        <v>0.1</v>
      </c>
      <c r="J361">
        <v>0.18</v>
      </c>
      <c r="K361">
        <v>60.008000000000003</v>
      </c>
      <c r="L361" s="5" t="s">
        <v>19</v>
      </c>
    </row>
    <row r="362" spans="1:12" hidden="1" x14ac:dyDescent="0.3">
      <c r="A362" s="5" t="s">
        <v>25</v>
      </c>
      <c r="B362" s="6">
        <v>0.81757138888888892</v>
      </c>
      <c r="C362">
        <v>4.3</v>
      </c>
      <c r="D362">
        <v>0.01</v>
      </c>
      <c r="E362">
        <v>5.8</v>
      </c>
      <c r="F362">
        <v>0</v>
      </c>
      <c r="G362">
        <v>0.04</v>
      </c>
      <c r="H362">
        <v>0.14000000000000001</v>
      </c>
      <c r="I362">
        <v>0.1</v>
      </c>
      <c r="J362">
        <v>0.18</v>
      </c>
      <c r="K362">
        <v>60.008000000000003</v>
      </c>
      <c r="L362" s="5" t="s">
        <v>19</v>
      </c>
    </row>
    <row r="363" spans="1:12" hidden="1" x14ac:dyDescent="0.3">
      <c r="A363" s="5" t="s">
        <v>25</v>
      </c>
      <c r="B363" s="6">
        <v>0.81758296296296296</v>
      </c>
      <c r="C363">
        <v>4.3099999999999996</v>
      </c>
      <c r="D363">
        <v>0.01</v>
      </c>
      <c r="E363">
        <v>5.8</v>
      </c>
      <c r="F363">
        <v>0</v>
      </c>
      <c r="G363">
        <v>0.04</v>
      </c>
      <c r="H363">
        <v>0.14000000000000001</v>
      </c>
      <c r="I363">
        <v>0.1</v>
      </c>
      <c r="J363">
        <v>0.18</v>
      </c>
      <c r="K363">
        <v>60.008000000000003</v>
      </c>
      <c r="L363" s="5" t="s">
        <v>19</v>
      </c>
    </row>
    <row r="364" spans="1:12" hidden="1" x14ac:dyDescent="0.3">
      <c r="A364" s="5" t="s">
        <v>25</v>
      </c>
      <c r="B364" s="6">
        <v>0.81759453703703699</v>
      </c>
      <c r="C364">
        <v>4.3099999999999996</v>
      </c>
      <c r="D364">
        <v>0.01</v>
      </c>
      <c r="E364">
        <v>5.8</v>
      </c>
      <c r="F364">
        <v>0</v>
      </c>
      <c r="G364">
        <v>0.04</v>
      </c>
      <c r="H364">
        <v>0.14000000000000001</v>
      </c>
      <c r="I364">
        <v>0.1</v>
      </c>
      <c r="J364">
        <v>0.18</v>
      </c>
      <c r="K364">
        <v>60.008000000000003</v>
      </c>
      <c r="L364" s="5" t="s">
        <v>19</v>
      </c>
    </row>
    <row r="365" spans="1:12" hidden="1" x14ac:dyDescent="0.3">
      <c r="A365" s="5" t="s">
        <v>25</v>
      </c>
      <c r="B365" s="6">
        <v>0.81760611111111114</v>
      </c>
      <c r="C365">
        <v>4.3099999999999996</v>
      </c>
      <c r="D365">
        <v>0.01</v>
      </c>
      <c r="E365">
        <v>5.8</v>
      </c>
      <c r="F365">
        <v>0</v>
      </c>
      <c r="G365">
        <v>0.04</v>
      </c>
      <c r="H365">
        <v>0.14000000000000001</v>
      </c>
      <c r="I365">
        <v>0.1</v>
      </c>
      <c r="J365">
        <v>0.18</v>
      </c>
      <c r="K365">
        <v>60.008000000000003</v>
      </c>
      <c r="L365" s="5" t="s">
        <v>19</v>
      </c>
    </row>
    <row r="366" spans="1:12" hidden="1" x14ac:dyDescent="0.3">
      <c r="A366" s="5" t="s">
        <v>25</v>
      </c>
      <c r="B366" s="6">
        <v>0.81761768518518518</v>
      </c>
      <c r="C366">
        <v>4.3099999999999996</v>
      </c>
      <c r="D366">
        <v>0.01</v>
      </c>
      <c r="E366">
        <v>5.8</v>
      </c>
      <c r="F366">
        <v>0</v>
      </c>
      <c r="G366">
        <v>0.04</v>
      </c>
      <c r="H366">
        <v>0.14000000000000001</v>
      </c>
      <c r="I366">
        <v>0.1</v>
      </c>
      <c r="J366">
        <v>0.18</v>
      </c>
      <c r="K366">
        <v>60.008000000000003</v>
      </c>
      <c r="L366" s="5" t="s">
        <v>19</v>
      </c>
    </row>
    <row r="367" spans="1:12" hidden="1" x14ac:dyDescent="0.3">
      <c r="A367" s="5" t="s">
        <v>25</v>
      </c>
      <c r="B367" s="6">
        <v>0.81762925925925922</v>
      </c>
      <c r="C367">
        <v>4.3099999999999996</v>
      </c>
      <c r="D367">
        <v>0.01</v>
      </c>
      <c r="E367">
        <v>5.8</v>
      </c>
      <c r="F367">
        <v>0</v>
      </c>
      <c r="G367">
        <v>0.04</v>
      </c>
      <c r="H367">
        <v>0.14000000000000001</v>
      </c>
      <c r="I367">
        <v>0.1</v>
      </c>
      <c r="J367">
        <v>0.18</v>
      </c>
      <c r="K367">
        <v>60.008000000000003</v>
      </c>
      <c r="L367" s="5" t="s">
        <v>19</v>
      </c>
    </row>
    <row r="368" spans="1:12" hidden="1" x14ac:dyDescent="0.3">
      <c r="A368" s="5" t="s">
        <v>25</v>
      </c>
      <c r="B368" s="6">
        <v>0.81764083333333337</v>
      </c>
      <c r="C368">
        <v>4.33</v>
      </c>
      <c r="D368">
        <v>0.01</v>
      </c>
      <c r="E368">
        <v>5.8</v>
      </c>
      <c r="F368">
        <v>0</v>
      </c>
      <c r="G368">
        <v>0.04</v>
      </c>
      <c r="H368">
        <v>0.14000000000000001</v>
      </c>
      <c r="I368">
        <v>0.1</v>
      </c>
      <c r="J368">
        <v>0.18</v>
      </c>
      <c r="K368">
        <v>60.009</v>
      </c>
      <c r="L368" s="5" t="s">
        <v>19</v>
      </c>
    </row>
    <row r="369" spans="1:12" hidden="1" x14ac:dyDescent="0.3">
      <c r="A369" s="5" t="s">
        <v>25</v>
      </c>
      <c r="B369" s="6">
        <v>0.81765240740740741</v>
      </c>
      <c r="C369">
        <v>4.32</v>
      </c>
      <c r="D369">
        <v>0.01</v>
      </c>
      <c r="E369">
        <v>5.8</v>
      </c>
      <c r="F369">
        <v>0</v>
      </c>
      <c r="G369">
        <v>0.04</v>
      </c>
      <c r="H369">
        <v>0.14000000000000001</v>
      </c>
      <c r="I369">
        <v>0.1</v>
      </c>
      <c r="J369">
        <v>0.18</v>
      </c>
      <c r="K369">
        <v>60.009</v>
      </c>
      <c r="L369" s="5" t="s">
        <v>19</v>
      </c>
    </row>
    <row r="370" spans="1:12" hidden="1" x14ac:dyDescent="0.3">
      <c r="A370" s="5" t="s">
        <v>25</v>
      </c>
      <c r="B370" s="6">
        <v>0.81766398148148145</v>
      </c>
      <c r="C370">
        <v>4.33</v>
      </c>
      <c r="D370">
        <v>0.01</v>
      </c>
      <c r="E370">
        <v>5.8</v>
      </c>
      <c r="F370">
        <v>0</v>
      </c>
      <c r="G370">
        <v>0.04</v>
      </c>
      <c r="H370">
        <v>0.14000000000000001</v>
      </c>
      <c r="I370">
        <v>0.1</v>
      </c>
      <c r="J370">
        <v>0.18</v>
      </c>
      <c r="K370">
        <v>60.009</v>
      </c>
      <c r="L370" s="5" t="s">
        <v>19</v>
      </c>
    </row>
    <row r="371" spans="1:12" hidden="1" x14ac:dyDescent="0.3">
      <c r="A371" s="5" t="s">
        <v>25</v>
      </c>
      <c r="B371" s="6">
        <v>0.8176755555555556</v>
      </c>
      <c r="C371">
        <v>4.32</v>
      </c>
      <c r="D371">
        <v>0.01</v>
      </c>
      <c r="E371">
        <v>5.8</v>
      </c>
      <c r="F371">
        <v>0</v>
      </c>
      <c r="G371">
        <v>0.04</v>
      </c>
      <c r="H371">
        <v>0.14000000000000001</v>
      </c>
      <c r="I371">
        <v>0.1</v>
      </c>
      <c r="J371">
        <v>0.18</v>
      </c>
      <c r="K371">
        <v>60.009</v>
      </c>
      <c r="L371" s="5" t="s">
        <v>19</v>
      </c>
    </row>
    <row r="372" spans="1:12" hidden="1" x14ac:dyDescent="0.3">
      <c r="A372" s="5" t="s">
        <v>25</v>
      </c>
      <c r="B372" s="6">
        <v>0.81768712962962964</v>
      </c>
      <c r="C372">
        <v>4.41</v>
      </c>
      <c r="D372">
        <v>0.01</v>
      </c>
      <c r="E372">
        <v>6</v>
      </c>
      <c r="F372">
        <v>0</v>
      </c>
      <c r="G372">
        <v>0.04</v>
      </c>
      <c r="H372">
        <v>0.14000000000000001</v>
      </c>
      <c r="I372">
        <v>0.1</v>
      </c>
      <c r="J372">
        <v>0.18</v>
      </c>
      <c r="K372">
        <v>60.01</v>
      </c>
      <c r="L372" s="5" t="s">
        <v>19</v>
      </c>
    </row>
    <row r="373" spans="1:12" hidden="1" x14ac:dyDescent="0.3">
      <c r="A373" s="5" t="s">
        <v>25</v>
      </c>
      <c r="B373" s="6">
        <v>0.81769870370370368</v>
      </c>
      <c r="C373">
        <v>4.9800000000000004</v>
      </c>
      <c r="D373">
        <v>0.01</v>
      </c>
      <c r="E373">
        <v>6.8</v>
      </c>
      <c r="F373">
        <v>0</v>
      </c>
      <c r="G373">
        <v>0.04</v>
      </c>
      <c r="H373">
        <v>0.14000000000000001</v>
      </c>
      <c r="I373">
        <v>0.1</v>
      </c>
      <c r="J373">
        <v>0.18</v>
      </c>
      <c r="K373">
        <v>60.011000000000003</v>
      </c>
      <c r="L373" s="5" t="s">
        <v>19</v>
      </c>
    </row>
    <row r="374" spans="1:12" hidden="1" x14ac:dyDescent="0.3">
      <c r="A374" s="5" t="s">
        <v>25</v>
      </c>
      <c r="B374" s="6">
        <v>0.81771027777777783</v>
      </c>
      <c r="C374">
        <v>4.97</v>
      </c>
      <c r="D374">
        <v>0.01</v>
      </c>
      <c r="E374">
        <v>6.8</v>
      </c>
      <c r="F374">
        <v>0</v>
      </c>
      <c r="G374">
        <v>0.04</v>
      </c>
      <c r="H374">
        <v>0.14000000000000001</v>
      </c>
      <c r="I374">
        <v>0.1</v>
      </c>
      <c r="J374">
        <v>0.18</v>
      </c>
      <c r="K374">
        <v>60.011000000000003</v>
      </c>
      <c r="L374" s="5" t="s">
        <v>19</v>
      </c>
    </row>
    <row r="375" spans="1:12" hidden="1" x14ac:dyDescent="0.3">
      <c r="A375" s="5" t="s">
        <v>25</v>
      </c>
      <c r="B375" s="6">
        <v>0.81772185185185187</v>
      </c>
      <c r="C375">
        <v>4.96</v>
      </c>
      <c r="D375">
        <v>0.01</v>
      </c>
      <c r="E375">
        <v>6.8</v>
      </c>
      <c r="F375">
        <v>0</v>
      </c>
      <c r="G375">
        <v>0.04</v>
      </c>
      <c r="H375">
        <v>0.14000000000000001</v>
      </c>
      <c r="I375">
        <v>0.1</v>
      </c>
      <c r="J375">
        <v>0.18</v>
      </c>
      <c r="K375">
        <v>60.012</v>
      </c>
      <c r="L375" s="5" t="s">
        <v>19</v>
      </c>
    </row>
    <row r="376" spans="1:12" hidden="1" x14ac:dyDescent="0.3">
      <c r="A376" s="5" t="s">
        <v>25</v>
      </c>
      <c r="B376" s="6">
        <v>0.81773342592592591</v>
      </c>
      <c r="C376">
        <v>4.95</v>
      </c>
      <c r="D376">
        <v>0.01</v>
      </c>
      <c r="E376">
        <v>6.7</v>
      </c>
      <c r="F376">
        <v>0</v>
      </c>
      <c r="G376">
        <v>0.04</v>
      </c>
      <c r="H376">
        <v>0.14000000000000001</v>
      </c>
      <c r="I376">
        <v>0.1</v>
      </c>
      <c r="J376">
        <v>0.18</v>
      </c>
      <c r="K376">
        <v>60.012</v>
      </c>
      <c r="L376" s="5" t="s">
        <v>19</v>
      </c>
    </row>
    <row r="377" spans="1:12" hidden="1" x14ac:dyDescent="0.3">
      <c r="A377" s="5" t="s">
        <v>25</v>
      </c>
      <c r="B377" s="6">
        <v>0.81774500000000006</v>
      </c>
      <c r="C377">
        <v>5.09</v>
      </c>
      <c r="D377">
        <v>0.01</v>
      </c>
      <c r="E377">
        <v>7</v>
      </c>
      <c r="F377">
        <v>0</v>
      </c>
      <c r="G377">
        <v>0.04</v>
      </c>
      <c r="H377">
        <v>0.14000000000000001</v>
      </c>
      <c r="I377">
        <v>0.1</v>
      </c>
      <c r="J377">
        <v>0.18</v>
      </c>
      <c r="K377">
        <v>60.012999999999998</v>
      </c>
      <c r="L377" s="5" t="s">
        <v>19</v>
      </c>
    </row>
    <row r="378" spans="1:12" hidden="1" x14ac:dyDescent="0.3">
      <c r="A378" s="5" t="s">
        <v>25</v>
      </c>
      <c r="B378" s="6">
        <v>0.81775657407407409</v>
      </c>
      <c r="C378">
        <v>5.76</v>
      </c>
      <c r="D378">
        <v>0.01</v>
      </c>
      <c r="E378">
        <v>7.9</v>
      </c>
      <c r="F378">
        <v>0</v>
      </c>
      <c r="G378">
        <v>0.04</v>
      </c>
      <c r="H378">
        <v>0.14000000000000001</v>
      </c>
      <c r="I378">
        <v>0.1</v>
      </c>
      <c r="J378">
        <v>0.18</v>
      </c>
      <c r="K378">
        <v>60.014000000000003</v>
      </c>
      <c r="L378" s="5" t="s">
        <v>19</v>
      </c>
    </row>
    <row r="379" spans="1:12" hidden="1" x14ac:dyDescent="0.3">
      <c r="A379" s="5" t="s">
        <v>25</v>
      </c>
      <c r="B379" s="6">
        <v>0.81776814814814813</v>
      </c>
      <c r="C379">
        <v>5.74</v>
      </c>
      <c r="D379">
        <v>0.01</v>
      </c>
      <c r="E379">
        <v>7.9</v>
      </c>
      <c r="F379">
        <v>0</v>
      </c>
      <c r="G379">
        <v>0.04</v>
      </c>
      <c r="H379">
        <v>0.14000000000000001</v>
      </c>
      <c r="I379">
        <v>0.1</v>
      </c>
      <c r="J379">
        <v>0.18</v>
      </c>
      <c r="K379">
        <v>60.014000000000003</v>
      </c>
      <c r="L379" s="5" t="s">
        <v>19</v>
      </c>
    </row>
    <row r="380" spans="1:12" hidden="1" x14ac:dyDescent="0.3">
      <c r="A380" s="5" t="s">
        <v>25</v>
      </c>
      <c r="B380" s="6">
        <v>0.81777972222222217</v>
      </c>
      <c r="C380">
        <v>5.73</v>
      </c>
      <c r="D380">
        <v>0.01</v>
      </c>
      <c r="E380">
        <v>7.9</v>
      </c>
      <c r="F380">
        <v>0</v>
      </c>
      <c r="G380">
        <v>0.04</v>
      </c>
      <c r="H380">
        <v>0.14000000000000001</v>
      </c>
      <c r="I380">
        <v>0.1</v>
      </c>
      <c r="J380">
        <v>0.18</v>
      </c>
      <c r="K380">
        <v>60.015000000000001</v>
      </c>
      <c r="L380" s="5" t="s">
        <v>19</v>
      </c>
    </row>
    <row r="381" spans="1:12" hidden="1" x14ac:dyDescent="0.3">
      <c r="A381" s="5" t="s">
        <v>25</v>
      </c>
      <c r="B381" s="6">
        <v>0.81779129629629632</v>
      </c>
      <c r="C381">
        <v>5.73</v>
      </c>
      <c r="D381">
        <v>0.01</v>
      </c>
      <c r="E381">
        <v>7.9</v>
      </c>
      <c r="F381">
        <v>0</v>
      </c>
      <c r="G381">
        <v>0.04</v>
      </c>
      <c r="H381">
        <v>0.14000000000000001</v>
      </c>
      <c r="I381">
        <v>0.1</v>
      </c>
      <c r="J381">
        <v>0.18</v>
      </c>
      <c r="K381">
        <v>60.015999999999998</v>
      </c>
      <c r="L381" s="5" t="s">
        <v>19</v>
      </c>
    </row>
    <row r="382" spans="1:12" hidden="1" x14ac:dyDescent="0.3">
      <c r="A382" s="5" t="s">
        <v>25</v>
      </c>
      <c r="B382" s="6">
        <v>0.81780287037037036</v>
      </c>
      <c r="C382">
        <v>5.76</v>
      </c>
      <c r="D382">
        <v>0.01</v>
      </c>
      <c r="E382">
        <v>8</v>
      </c>
      <c r="F382">
        <v>0</v>
      </c>
      <c r="G382">
        <v>0.04</v>
      </c>
      <c r="H382">
        <v>0.14000000000000001</v>
      </c>
      <c r="I382">
        <v>0.1</v>
      </c>
      <c r="J382">
        <v>0.18</v>
      </c>
      <c r="K382">
        <v>60.015999999999998</v>
      </c>
      <c r="L382" s="5" t="s">
        <v>19</v>
      </c>
    </row>
    <row r="383" spans="1:12" hidden="1" x14ac:dyDescent="0.3">
      <c r="A383" s="5" t="s">
        <v>25</v>
      </c>
      <c r="B383" s="6">
        <v>0.8178144444444444</v>
      </c>
      <c r="C383">
        <v>5.86</v>
      </c>
      <c r="D383">
        <v>0.01</v>
      </c>
      <c r="E383">
        <v>8.6</v>
      </c>
      <c r="F383">
        <v>0</v>
      </c>
      <c r="G383">
        <v>0.04</v>
      </c>
      <c r="H383">
        <v>0.15</v>
      </c>
      <c r="I383">
        <v>0.1</v>
      </c>
      <c r="J383">
        <v>0.18</v>
      </c>
      <c r="K383">
        <v>60.012999999999998</v>
      </c>
      <c r="L383" s="5" t="s">
        <v>19</v>
      </c>
    </row>
    <row r="384" spans="1:12" hidden="1" x14ac:dyDescent="0.3">
      <c r="A384" s="5" t="s">
        <v>25</v>
      </c>
      <c r="B384" s="6">
        <v>0.81782601851851855</v>
      </c>
      <c r="C384">
        <v>5.49</v>
      </c>
      <c r="D384">
        <v>0.01</v>
      </c>
      <c r="E384">
        <v>8.4</v>
      </c>
      <c r="F384">
        <v>0</v>
      </c>
      <c r="G384">
        <v>0.04</v>
      </c>
      <c r="H384">
        <v>0.14000000000000001</v>
      </c>
      <c r="I384">
        <v>0.1</v>
      </c>
      <c r="J384">
        <v>0.18</v>
      </c>
      <c r="K384">
        <v>60.009</v>
      </c>
      <c r="L384" s="5" t="s">
        <v>19</v>
      </c>
    </row>
    <row r="385" spans="1:12" hidden="1" x14ac:dyDescent="0.3">
      <c r="A385" s="5" t="s">
        <v>25</v>
      </c>
      <c r="B385" s="6">
        <v>0.81783759259259259</v>
      </c>
      <c r="C385">
        <v>5.95</v>
      </c>
      <c r="D385">
        <v>0.01</v>
      </c>
      <c r="E385">
        <v>9.1</v>
      </c>
      <c r="F385">
        <v>0</v>
      </c>
      <c r="G385">
        <v>0.04</v>
      </c>
      <c r="H385">
        <v>0.14000000000000001</v>
      </c>
      <c r="I385">
        <v>0.1</v>
      </c>
      <c r="J385">
        <v>0.18</v>
      </c>
      <c r="K385">
        <v>60.015999999999998</v>
      </c>
      <c r="L385" s="5" t="s">
        <v>19</v>
      </c>
    </row>
    <row r="386" spans="1:12" hidden="1" x14ac:dyDescent="0.3">
      <c r="A386" s="5" t="s">
        <v>25</v>
      </c>
      <c r="B386" s="6">
        <v>0.81784916666666663</v>
      </c>
      <c r="C386">
        <v>6.07</v>
      </c>
      <c r="D386">
        <v>0.01</v>
      </c>
      <c r="E386">
        <v>9.1999999999999993</v>
      </c>
      <c r="F386">
        <v>0</v>
      </c>
      <c r="G386">
        <v>0.04</v>
      </c>
      <c r="H386">
        <v>0.14000000000000001</v>
      </c>
      <c r="I386">
        <v>0.1</v>
      </c>
      <c r="J386">
        <v>0.18</v>
      </c>
      <c r="K386">
        <v>60.018000000000001</v>
      </c>
      <c r="L386" s="5" t="s">
        <v>19</v>
      </c>
    </row>
    <row r="387" spans="1:12" hidden="1" x14ac:dyDescent="0.3">
      <c r="A387" s="5" t="s">
        <v>25</v>
      </c>
      <c r="B387" s="6">
        <v>0.81786074074074078</v>
      </c>
      <c r="C387">
        <v>6.15</v>
      </c>
      <c r="D387">
        <v>0.01</v>
      </c>
      <c r="E387">
        <v>9.3000000000000007</v>
      </c>
      <c r="F387">
        <v>0</v>
      </c>
      <c r="G387">
        <v>0.04</v>
      </c>
      <c r="H387">
        <v>0.14000000000000001</v>
      </c>
      <c r="I387">
        <v>0.1</v>
      </c>
      <c r="J387">
        <v>0.18</v>
      </c>
      <c r="K387">
        <v>60.018000000000001</v>
      </c>
      <c r="L387" s="5" t="s">
        <v>19</v>
      </c>
    </row>
    <row r="388" spans="1:12" hidden="1" x14ac:dyDescent="0.3">
      <c r="A388" s="5" t="s">
        <v>25</v>
      </c>
      <c r="B388" s="6">
        <v>0.81787231481481482</v>
      </c>
      <c r="C388">
        <v>6.14</v>
      </c>
      <c r="D388">
        <v>0.01</v>
      </c>
      <c r="E388">
        <v>9.4</v>
      </c>
      <c r="F388">
        <v>0</v>
      </c>
      <c r="G388">
        <v>0.04</v>
      </c>
      <c r="H388">
        <v>0.14000000000000001</v>
      </c>
      <c r="I388">
        <v>0.1</v>
      </c>
      <c r="J388">
        <v>0.18</v>
      </c>
      <c r="K388">
        <v>60.017000000000003</v>
      </c>
      <c r="L388" s="5" t="s">
        <v>19</v>
      </c>
    </row>
    <row r="389" spans="1:12" hidden="1" x14ac:dyDescent="0.3">
      <c r="A389" s="5" t="s">
        <v>25</v>
      </c>
      <c r="B389" s="6">
        <v>0.81788388888888885</v>
      </c>
      <c r="C389">
        <v>6.16</v>
      </c>
      <c r="D389">
        <v>0.01</v>
      </c>
      <c r="E389">
        <v>9.4</v>
      </c>
      <c r="F389">
        <v>0</v>
      </c>
      <c r="G389">
        <v>0.04</v>
      </c>
      <c r="H389">
        <v>0.14000000000000001</v>
      </c>
      <c r="I389">
        <v>0.1</v>
      </c>
      <c r="J389">
        <v>0.18</v>
      </c>
      <c r="K389">
        <v>60.015999999999998</v>
      </c>
      <c r="L389" s="5" t="s">
        <v>19</v>
      </c>
    </row>
    <row r="390" spans="1:12" hidden="1" x14ac:dyDescent="0.3">
      <c r="A390" s="5" t="s">
        <v>25</v>
      </c>
      <c r="B390" s="6">
        <v>0.817895462962963</v>
      </c>
      <c r="C390">
        <v>6.18</v>
      </c>
      <c r="D390">
        <v>0.01</v>
      </c>
      <c r="E390">
        <v>9.4</v>
      </c>
      <c r="F390">
        <v>0</v>
      </c>
      <c r="G390">
        <v>0.04</v>
      </c>
      <c r="H390">
        <v>0.14000000000000001</v>
      </c>
      <c r="I390">
        <v>0.1</v>
      </c>
      <c r="J390">
        <v>0.18</v>
      </c>
      <c r="K390">
        <v>60.017000000000003</v>
      </c>
      <c r="L390" s="5" t="s">
        <v>19</v>
      </c>
    </row>
    <row r="391" spans="1:12" hidden="1" x14ac:dyDescent="0.3">
      <c r="A391" s="5" t="s">
        <v>25</v>
      </c>
      <c r="B391" s="6">
        <v>0.81790703703703704</v>
      </c>
      <c r="C391">
        <v>6.11</v>
      </c>
      <c r="D391">
        <v>0.01</v>
      </c>
      <c r="E391">
        <v>9.3000000000000007</v>
      </c>
      <c r="F391">
        <v>0</v>
      </c>
      <c r="G391">
        <v>0.04</v>
      </c>
      <c r="H391">
        <v>0.14000000000000001</v>
      </c>
      <c r="I391">
        <v>0.1</v>
      </c>
      <c r="J391">
        <v>0.18</v>
      </c>
      <c r="K391">
        <v>60.015000000000001</v>
      </c>
      <c r="L391" s="5" t="s">
        <v>19</v>
      </c>
    </row>
    <row r="392" spans="1:12" hidden="1" x14ac:dyDescent="0.3">
      <c r="A392" s="5" t="s">
        <v>25</v>
      </c>
      <c r="B392" s="6">
        <v>0.81791861111111108</v>
      </c>
      <c r="C392">
        <v>6.19</v>
      </c>
      <c r="D392">
        <v>0.01</v>
      </c>
      <c r="E392">
        <v>9.4</v>
      </c>
      <c r="F392">
        <v>0</v>
      </c>
      <c r="G392">
        <v>0.04</v>
      </c>
      <c r="H392">
        <v>0.14000000000000001</v>
      </c>
      <c r="I392">
        <v>0.1</v>
      </c>
      <c r="J392">
        <v>0.18</v>
      </c>
      <c r="K392">
        <v>60.015999999999998</v>
      </c>
      <c r="L392" s="5" t="s">
        <v>19</v>
      </c>
    </row>
    <row r="393" spans="1:12" hidden="1" x14ac:dyDescent="0.3">
      <c r="A393" s="5" t="s">
        <v>25</v>
      </c>
      <c r="B393" s="6">
        <v>0.81793018518518523</v>
      </c>
      <c r="C393">
        <v>6.15</v>
      </c>
      <c r="D393">
        <v>0.01</v>
      </c>
      <c r="E393">
        <v>9.4</v>
      </c>
      <c r="F393">
        <v>0</v>
      </c>
      <c r="G393">
        <v>0.04</v>
      </c>
      <c r="H393">
        <v>0.14000000000000001</v>
      </c>
      <c r="I393">
        <v>0.1</v>
      </c>
      <c r="J393">
        <v>0.18</v>
      </c>
      <c r="K393">
        <v>60.018000000000001</v>
      </c>
      <c r="L393" s="5" t="s">
        <v>19</v>
      </c>
    </row>
    <row r="394" spans="1:12" hidden="1" x14ac:dyDescent="0.3">
      <c r="A394" s="5" t="s">
        <v>25</v>
      </c>
      <c r="B394" s="6">
        <v>0.81794175925925927</v>
      </c>
      <c r="C394">
        <v>6.2</v>
      </c>
      <c r="D394">
        <v>0.01</v>
      </c>
      <c r="E394">
        <v>9.4</v>
      </c>
      <c r="F394">
        <v>0</v>
      </c>
      <c r="G394">
        <v>0.04</v>
      </c>
      <c r="H394">
        <v>0.14000000000000001</v>
      </c>
      <c r="I394">
        <v>0.1</v>
      </c>
      <c r="J394">
        <v>0.18</v>
      </c>
      <c r="K394">
        <v>60.021000000000001</v>
      </c>
      <c r="L394" s="5" t="s">
        <v>19</v>
      </c>
    </row>
    <row r="395" spans="1:12" hidden="1" x14ac:dyDescent="0.3">
      <c r="A395" s="5" t="s">
        <v>25</v>
      </c>
      <c r="B395" s="6">
        <v>0.81795333333333331</v>
      </c>
      <c r="C395">
        <v>6.17</v>
      </c>
      <c r="D395">
        <v>0.01</v>
      </c>
      <c r="E395">
        <v>9.4</v>
      </c>
      <c r="F395">
        <v>0</v>
      </c>
      <c r="G395">
        <v>0.04</v>
      </c>
      <c r="H395">
        <v>0.14000000000000001</v>
      </c>
      <c r="I395">
        <v>0.1</v>
      </c>
      <c r="J395">
        <v>0.18</v>
      </c>
      <c r="K395">
        <v>60.012999999999998</v>
      </c>
      <c r="L395" s="5" t="s">
        <v>19</v>
      </c>
    </row>
    <row r="396" spans="1:12" hidden="1" x14ac:dyDescent="0.3">
      <c r="A396" s="5" t="s">
        <v>25</v>
      </c>
      <c r="B396" s="6">
        <v>0.81796490740740746</v>
      </c>
      <c r="C396">
        <v>6.17</v>
      </c>
      <c r="D396">
        <v>0.01</v>
      </c>
      <c r="E396">
        <v>9.4</v>
      </c>
      <c r="F396">
        <v>0</v>
      </c>
      <c r="G396">
        <v>0.04</v>
      </c>
      <c r="H396">
        <v>0.14000000000000001</v>
      </c>
      <c r="I396">
        <v>0.1</v>
      </c>
      <c r="J396">
        <v>0.18</v>
      </c>
      <c r="K396">
        <v>60.01</v>
      </c>
      <c r="L396" s="5" t="s">
        <v>19</v>
      </c>
    </row>
    <row r="397" spans="1:12" hidden="1" x14ac:dyDescent="0.3">
      <c r="A397" s="5" t="s">
        <v>25</v>
      </c>
      <c r="B397" s="6">
        <v>0.8179764814814815</v>
      </c>
      <c r="C397">
        <v>6.19</v>
      </c>
      <c r="D397">
        <v>0.01</v>
      </c>
      <c r="E397">
        <v>9.4</v>
      </c>
      <c r="F397">
        <v>0</v>
      </c>
      <c r="G397">
        <v>0.04</v>
      </c>
      <c r="H397">
        <v>0.15</v>
      </c>
      <c r="I397">
        <v>0.1</v>
      </c>
      <c r="J397">
        <v>0.18</v>
      </c>
      <c r="K397">
        <v>60.01</v>
      </c>
      <c r="L397" s="5" t="s">
        <v>19</v>
      </c>
    </row>
    <row r="398" spans="1:12" hidden="1" x14ac:dyDescent="0.3">
      <c r="A398" s="5" t="s">
        <v>25</v>
      </c>
      <c r="B398" s="6">
        <v>0.81798805555555554</v>
      </c>
      <c r="C398">
        <v>6.16</v>
      </c>
      <c r="D398">
        <v>0.01</v>
      </c>
      <c r="E398">
        <v>9.4</v>
      </c>
      <c r="F398">
        <v>0</v>
      </c>
      <c r="G398">
        <v>0.04</v>
      </c>
      <c r="H398">
        <v>0.15</v>
      </c>
      <c r="I398">
        <v>0.1</v>
      </c>
      <c r="J398">
        <v>0.18</v>
      </c>
      <c r="K398">
        <v>60.008000000000003</v>
      </c>
      <c r="L398" s="5" t="s">
        <v>19</v>
      </c>
    </row>
    <row r="399" spans="1:12" hidden="1" x14ac:dyDescent="0.3">
      <c r="A399" s="5" t="s">
        <v>25</v>
      </c>
      <c r="B399" s="6">
        <v>0.81799962962962958</v>
      </c>
      <c r="C399">
        <v>6.24</v>
      </c>
      <c r="D399">
        <v>0.01</v>
      </c>
      <c r="E399">
        <v>9.5</v>
      </c>
      <c r="F399">
        <v>0</v>
      </c>
      <c r="G399">
        <v>0.04</v>
      </c>
      <c r="H399">
        <v>0.15</v>
      </c>
      <c r="I399">
        <v>0.1</v>
      </c>
      <c r="J399">
        <v>0.18</v>
      </c>
      <c r="K399">
        <v>60.01</v>
      </c>
      <c r="L399" s="5" t="s">
        <v>19</v>
      </c>
    </row>
    <row r="400" spans="1:12" hidden="1" x14ac:dyDescent="0.3">
      <c r="A400" s="5" t="s">
        <v>25</v>
      </c>
      <c r="B400" s="6">
        <v>0.81801120370370373</v>
      </c>
      <c r="C400">
        <v>6.18</v>
      </c>
      <c r="D400">
        <v>0.01</v>
      </c>
      <c r="E400">
        <v>9.4</v>
      </c>
      <c r="F400">
        <v>0</v>
      </c>
      <c r="G400">
        <v>0.04</v>
      </c>
      <c r="H400">
        <v>0.15</v>
      </c>
      <c r="I400">
        <v>0.1</v>
      </c>
      <c r="J400">
        <v>0.18</v>
      </c>
      <c r="K400">
        <v>60.006999999999998</v>
      </c>
      <c r="L400" s="5" t="s">
        <v>19</v>
      </c>
    </row>
    <row r="401" spans="1:12" hidden="1" x14ac:dyDescent="0.3">
      <c r="A401" s="5" t="s">
        <v>25</v>
      </c>
      <c r="B401" s="6">
        <v>0.81802277777777777</v>
      </c>
      <c r="C401">
        <v>6.22</v>
      </c>
      <c r="D401">
        <v>0.01</v>
      </c>
      <c r="E401">
        <v>9.5</v>
      </c>
      <c r="F401">
        <v>0</v>
      </c>
      <c r="G401">
        <v>0.04</v>
      </c>
      <c r="H401">
        <v>0.15</v>
      </c>
      <c r="I401">
        <v>0.1</v>
      </c>
      <c r="J401">
        <v>0.18</v>
      </c>
      <c r="K401">
        <v>60.009</v>
      </c>
      <c r="L401" s="5" t="s">
        <v>19</v>
      </c>
    </row>
    <row r="402" spans="1:12" hidden="1" x14ac:dyDescent="0.3">
      <c r="A402" s="5" t="s">
        <v>25</v>
      </c>
      <c r="B402" s="6">
        <v>0.8180343518518518</v>
      </c>
      <c r="C402">
        <v>6.21</v>
      </c>
      <c r="D402">
        <v>0.01</v>
      </c>
      <c r="E402">
        <v>9.5</v>
      </c>
      <c r="F402">
        <v>0</v>
      </c>
      <c r="G402">
        <v>0.04</v>
      </c>
      <c r="H402">
        <v>0.15</v>
      </c>
      <c r="I402">
        <v>0.1</v>
      </c>
      <c r="J402">
        <v>0.18</v>
      </c>
      <c r="K402">
        <v>60.009</v>
      </c>
      <c r="L402" s="5" t="s">
        <v>19</v>
      </c>
    </row>
    <row r="403" spans="1:12" hidden="1" x14ac:dyDescent="0.3">
      <c r="A403" s="5" t="s">
        <v>25</v>
      </c>
      <c r="B403" s="6">
        <v>0.81804592592592595</v>
      </c>
      <c r="C403">
        <v>6.21</v>
      </c>
      <c r="D403">
        <v>0.01</v>
      </c>
      <c r="E403">
        <v>9.4</v>
      </c>
      <c r="F403">
        <v>0</v>
      </c>
      <c r="G403">
        <v>0.04</v>
      </c>
      <c r="H403">
        <v>0.15</v>
      </c>
      <c r="I403">
        <v>0.1</v>
      </c>
      <c r="J403">
        <v>0.18</v>
      </c>
      <c r="K403">
        <v>60.008000000000003</v>
      </c>
      <c r="L403" s="5" t="s">
        <v>19</v>
      </c>
    </row>
    <row r="404" spans="1:12" hidden="1" x14ac:dyDescent="0.3">
      <c r="A404" s="5" t="s">
        <v>25</v>
      </c>
      <c r="B404" s="6">
        <v>0.81805749999999999</v>
      </c>
      <c r="C404">
        <v>6.26</v>
      </c>
      <c r="D404">
        <v>0.01</v>
      </c>
      <c r="E404">
        <v>9.5</v>
      </c>
      <c r="F404">
        <v>0</v>
      </c>
      <c r="G404">
        <v>0.04</v>
      </c>
      <c r="H404">
        <v>0.15</v>
      </c>
      <c r="I404">
        <v>0.1</v>
      </c>
      <c r="J404">
        <v>0.18</v>
      </c>
      <c r="K404">
        <v>60.011000000000003</v>
      </c>
      <c r="L404" s="5" t="s">
        <v>19</v>
      </c>
    </row>
    <row r="405" spans="1:12" hidden="1" x14ac:dyDescent="0.3">
      <c r="A405" s="5" t="s">
        <v>25</v>
      </c>
      <c r="B405" s="6">
        <v>0.81806907407407403</v>
      </c>
      <c r="C405">
        <v>6.19</v>
      </c>
      <c r="D405">
        <v>0.01</v>
      </c>
      <c r="E405">
        <v>9.4</v>
      </c>
      <c r="F405">
        <v>0</v>
      </c>
      <c r="G405">
        <v>0.04</v>
      </c>
      <c r="H405">
        <v>0.14000000000000001</v>
      </c>
      <c r="I405">
        <v>0.1</v>
      </c>
      <c r="J405">
        <v>0.18</v>
      </c>
      <c r="K405">
        <v>60.009</v>
      </c>
      <c r="L405" s="5" t="s">
        <v>19</v>
      </c>
    </row>
    <row r="406" spans="1:12" hidden="1" x14ac:dyDescent="0.3">
      <c r="A406" s="5" t="s">
        <v>25</v>
      </c>
      <c r="B406" s="6">
        <v>0.81808064814814818</v>
      </c>
      <c r="C406">
        <v>6.26</v>
      </c>
      <c r="D406">
        <v>0.01</v>
      </c>
      <c r="E406">
        <v>9.5</v>
      </c>
      <c r="F406">
        <v>0</v>
      </c>
      <c r="G406">
        <v>0.04</v>
      </c>
      <c r="H406">
        <v>0.15</v>
      </c>
      <c r="I406">
        <v>0.1</v>
      </c>
      <c r="J406">
        <v>0.18</v>
      </c>
      <c r="K406">
        <v>60.012</v>
      </c>
      <c r="L406" s="5" t="s">
        <v>19</v>
      </c>
    </row>
    <row r="407" spans="1:12" hidden="1" x14ac:dyDescent="0.3">
      <c r="A407" s="5" t="s">
        <v>25</v>
      </c>
      <c r="B407" s="6">
        <v>0.81809222222222222</v>
      </c>
      <c r="C407">
        <v>6.22</v>
      </c>
      <c r="D407">
        <v>0.01</v>
      </c>
      <c r="E407">
        <v>9.5</v>
      </c>
      <c r="F407">
        <v>0</v>
      </c>
      <c r="G407">
        <v>0.04</v>
      </c>
      <c r="H407">
        <v>0.14000000000000001</v>
      </c>
      <c r="I407">
        <v>0.1</v>
      </c>
      <c r="J407">
        <v>0.18</v>
      </c>
      <c r="K407">
        <v>60.012</v>
      </c>
      <c r="L407" s="5" t="s">
        <v>19</v>
      </c>
    </row>
    <row r="408" spans="1:12" hidden="1" x14ac:dyDescent="0.3">
      <c r="A408" s="5" t="s">
        <v>25</v>
      </c>
      <c r="B408" s="6">
        <v>0.81810379629629626</v>
      </c>
      <c r="C408">
        <v>6.26</v>
      </c>
      <c r="D408">
        <v>0.01</v>
      </c>
      <c r="E408">
        <v>9.5</v>
      </c>
      <c r="F408">
        <v>0</v>
      </c>
      <c r="G408">
        <v>0.04</v>
      </c>
      <c r="H408">
        <v>0.15</v>
      </c>
      <c r="I408">
        <v>0.1</v>
      </c>
      <c r="J408">
        <v>0.18</v>
      </c>
      <c r="K408">
        <v>60.012999999999998</v>
      </c>
      <c r="L408" s="5" t="s">
        <v>19</v>
      </c>
    </row>
    <row r="409" spans="1:12" hidden="1" x14ac:dyDescent="0.3">
      <c r="A409" s="5" t="s">
        <v>25</v>
      </c>
      <c r="B409" s="6">
        <v>0.81811537037037041</v>
      </c>
      <c r="C409">
        <v>6.25</v>
      </c>
      <c r="D409">
        <v>0.01</v>
      </c>
      <c r="E409">
        <v>9.5</v>
      </c>
      <c r="F409">
        <v>0</v>
      </c>
      <c r="G409">
        <v>0.04</v>
      </c>
      <c r="H409">
        <v>0.15</v>
      </c>
      <c r="I409">
        <v>0.1</v>
      </c>
      <c r="J409">
        <v>0.18</v>
      </c>
      <c r="K409">
        <v>60.012999999999998</v>
      </c>
      <c r="L409" s="5" t="s">
        <v>19</v>
      </c>
    </row>
    <row r="410" spans="1:12" hidden="1" x14ac:dyDescent="0.3">
      <c r="A410" s="5" t="s">
        <v>25</v>
      </c>
      <c r="B410" s="6">
        <v>0.81812694444444445</v>
      </c>
      <c r="C410">
        <v>6.24</v>
      </c>
      <c r="D410">
        <v>0.01</v>
      </c>
      <c r="E410">
        <v>9.5</v>
      </c>
      <c r="F410">
        <v>0</v>
      </c>
      <c r="G410">
        <v>0.04</v>
      </c>
      <c r="H410">
        <v>0.15</v>
      </c>
      <c r="I410">
        <v>0.1</v>
      </c>
      <c r="J410">
        <v>0.18</v>
      </c>
      <c r="K410">
        <v>60.012999999999998</v>
      </c>
      <c r="L410" s="5" t="s">
        <v>19</v>
      </c>
    </row>
    <row r="411" spans="1:12" hidden="1" x14ac:dyDescent="0.3">
      <c r="A411" s="5" t="s">
        <v>25</v>
      </c>
      <c r="B411" s="6">
        <v>0.81813851851851849</v>
      </c>
      <c r="C411">
        <v>6.28</v>
      </c>
      <c r="D411">
        <v>0.01</v>
      </c>
      <c r="E411">
        <v>9.6</v>
      </c>
      <c r="F411">
        <v>0</v>
      </c>
      <c r="G411">
        <v>0.04</v>
      </c>
      <c r="H411">
        <v>0.15</v>
      </c>
      <c r="I411">
        <v>0.1</v>
      </c>
      <c r="J411">
        <v>0.18</v>
      </c>
      <c r="K411">
        <v>60.015000000000001</v>
      </c>
      <c r="L411" s="5" t="s">
        <v>19</v>
      </c>
    </row>
    <row r="412" spans="1:12" hidden="1" x14ac:dyDescent="0.3">
      <c r="A412" s="5" t="s">
        <v>25</v>
      </c>
      <c r="B412" s="6">
        <v>0.81815009259259264</v>
      </c>
      <c r="C412">
        <v>6.23</v>
      </c>
      <c r="D412">
        <v>0.01</v>
      </c>
      <c r="E412">
        <v>9.5</v>
      </c>
      <c r="F412">
        <v>0</v>
      </c>
      <c r="G412">
        <v>0.04</v>
      </c>
      <c r="H412">
        <v>0.15</v>
      </c>
      <c r="I412">
        <v>0.1</v>
      </c>
      <c r="J412">
        <v>0.18</v>
      </c>
      <c r="K412">
        <v>60.012</v>
      </c>
      <c r="L412" s="5" t="s">
        <v>19</v>
      </c>
    </row>
    <row r="413" spans="1:12" hidden="1" x14ac:dyDescent="0.3">
      <c r="A413" s="5" t="s">
        <v>25</v>
      </c>
      <c r="B413" s="6">
        <v>0.81816166666666668</v>
      </c>
      <c r="C413">
        <v>6.28</v>
      </c>
      <c r="D413">
        <v>0.01</v>
      </c>
      <c r="E413">
        <v>9.6</v>
      </c>
      <c r="F413">
        <v>0</v>
      </c>
      <c r="G413">
        <v>0.04</v>
      </c>
      <c r="H413">
        <v>0.15</v>
      </c>
      <c r="I413">
        <v>0.1</v>
      </c>
      <c r="J413">
        <v>0.18</v>
      </c>
      <c r="K413">
        <v>60.014000000000003</v>
      </c>
      <c r="L413" s="5" t="s">
        <v>19</v>
      </c>
    </row>
    <row r="414" spans="1:12" hidden="1" x14ac:dyDescent="0.3">
      <c r="A414" s="5" t="s">
        <v>25</v>
      </c>
      <c r="B414" s="6">
        <v>0.81817324074074071</v>
      </c>
      <c r="C414">
        <v>6.23</v>
      </c>
      <c r="D414">
        <v>0.01</v>
      </c>
      <c r="E414">
        <v>9.5</v>
      </c>
      <c r="F414">
        <v>0</v>
      </c>
      <c r="G414">
        <v>0.04</v>
      </c>
      <c r="H414">
        <v>0.14000000000000001</v>
      </c>
      <c r="I414">
        <v>0.1</v>
      </c>
      <c r="J414">
        <v>0.18</v>
      </c>
      <c r="K414">
        <v>60.012</v>
      </c>
      <c r="L414" s="5" t="s">
        <v>19</v>
      </c>
    </row>
    <row r="415" spans="1:12" hidden="1" x14ac:dyDescent="0.3">
      <c r="A415" s="5" t="s">
        <v>25</v>
      </c>
      <c r="B415" s="6">
        <v>0.81818481481481486</v>
      </c>
      <c r="C415">
        <v>6.26</v>
      </c>
      <c r="D415">
        <v>0.01</v>
      </c>
      <c r="E415">
        <v>9.5</v>
      </c>
      <c r="F415">
        <v>0</v>
      </c>
      <c r="G415">
        <v>0.04</v>
      </c>
      <c r="H415">
        <v>0.14000000000000001</v>
      </c>
      <c r="I415">
        <v>0.1</v>
      </c>
      <c r="J415">
        <v>0.18</v>
      </c>
      <c r="K415">
        <v>60.012999999999998</v>
      </c>
      <c r="L415" s="5" t="s">
        <v>19</v>
      </c>
    </row>
    <row r="416" spans="1:12" hidden="1" x14ac:dyDescent="0.3">
      <c r="A416" s="5" t="s">
        <v>25</v>
      </c>
      <c r="B416" s="6">
        <v>0.8181963888888889</v>
      </c>
      <c r="C416">
        <v>6.26</v>
      </c>
      <c r="D416">
        <v>0.01</v>
      </c>
      <c r="E416">
        <v>9.5</v>
      </c>
      <c r="F416">
        <v>0</v>
      </c>
      <c r="G416">
        <v>0.04</v>
      </c>
      <c r="H416">
        <v>0.14000000000000001</v>
      </c>
      <c r="I416">
        <v>0.1</v>
      </c>
      <c r="J416">
        <v>0.18</v>
      </c>
      <c r="K416">
        <v>60.012</v>
      </c>
      <c r="L416" s="5" t="s">
        <v>19</v>
      </c>
    </row>
    <row r="417" spans="1:12" hidden="1" x14ac:dyDescent="0.3">
      <c r="A417" s="5" t="s">
        <v>25</v>
      </c>
      <c r="B417" s="6">
        <v>0.81820796296296294</v>
      </c>
      <c r="C417">
        <v>6.24</v>
      </c>
      <c r="D417">
        <v>0.01</v>
      </c>
      <c r="E417">
        <v>9.5</v>
      </c>
      <c r="F417">
        <v>0</v>
      </c>
      <c r="G417">
        <v>0.04</v>
      </c>
      <c r="H417">
        <v>0.14000000000000001</v>
      </c>
      <c r="I417">
        <v>0.1</v>
      </c>
      <c r="J417">
        <v>0.18</v>
      </c>
      <c r="K417">
        <v>60.01</v>
      </c>
      <c r="L417" s="5" t="s">
        <v>19</v>
      </c>
    </row>
    <row r="418" spans="1:12" hidden="1" x14ac:dyDescent="0.3">
      <c r="A418" s="5" t="s">
        <v>25</v>
      </c>
      <c r="B418" s="6">
        <v>0.81821953703703709</v>
      </c>
      <c r="C418">
        <v>6.27</v>
      </c>
      <c r="D418">
        <v>0.01</v>
      </c>
      <c r="E418">
        <v>9.5</v>
      </c>
      <c r="F418">
        <v>0</v>
      </c>
      <c r="G418">
        <v>0.04</v>
      </c>
      <c r="H418">
        <v>0.14000000000000001</v>
      </c>
      <c r="I418">
        <v>0.1</v>
      </c>
      <c r="J418">
        <v>0.18</v>
      </c>
      <c r="K418">
        <v>60.012</v>
      </c>
      <c r="L418" s="5" t="s">
        <v>19</v>
      </c>
    </row>
    <row r="419" spans="1:12" hidden="1" x14ac:dyDescent="0.3">
      <c r="A419" s="5" t="s">
        <v>25</v>
      </c>
      <c r="B419" s="6">
        <v>0.81823111111111113</v>
      </c>
      <c r="C419">
        <v>6.25</v>
      </c>
      <c r="D419">
        <v>0.01</v>
      </c>
      <c r="E419">
        <v>9.5</v>
      </c>
      <c r="F419">
        <v>0</v>
      </c>
      <c r="G419">
        <v>0.04</v>
      </c>
      <c r="H419">
        <v>0.14000000000000001</v>
      </c>
      <c r="I419">
        <v>0.1</v>
      </c>
      <c r="J419">
        <v>0.18</v>
      </c>
      <c r="K419">
        <v>60.01</v>
      </c>
      <c r="L419" s="5" t="s">
        <v>19</v>
      </c>
    </row>
    <row r="420" spans="1:12" hidden="1" x14ac:dyDescent="0.3">
      <c r="A420" s="5" t="s">
        <v>25</v>
      </c>
      <c r="B420" s="6">
        <v>0.81824268518518517</v>
      </c>
      <c r="C420">
        <v>6.27</v>
      </c>
      <c r="D420">
        <v>0.01</v>
      </c>
      <c r="E420">
        <v>9.6</v>
      </c>
      <c r="F420">
        <v>0</v>
      </c>
      <c r="G420">
        <v>0.04</v>
      </c>
      <c r="H420">
        <v>0.14000000000000001</v>
      </c>
      <c r="I420">
        <v>0.1</v>
      </c>
      <c r="J420">
        <v>0.18</v>
      </c>
      <c r="K420">
        <v>60.011000000000003</v>
      </c>
      <c r="L420" s="5" t="s">
        <v>19</v>
      </c>
    </row>
    <row r="421" spans="1:12" hidden="1" x14ac:dyDescent="0.3">
      <c r="A421" s="5" t="s">
        <v>25</v>
      </c>
      <c r="B421" s="6">
        <v>0.81825425925925921</v>
      </c>
      <c r="C421">
        <v>6.23</v>
      </c>
      <c r="D421">
        <v>0.01</v>
      </c>
      <c r="E421">
        <v>9.5</v>
      </c>
      <c r="F421">
        <v>0</v>
      </c>
      <c r="G421">
        <v>0.04</v>
      </c>
      <c r="H421">
        <v>0.14000000000000001</v>
      </c>
      <c r="I421">
        <v>0.1</v>
      </c>
      <c r="J421">
        <v>0.18</v>
      </c>
      <c r="K421">
        <v>60.009</v>
      </c>
      <c r="L421" s="5" t="s">
        <v>19</v>
      </c>
    </row>
    <row r="422" spans="1:12" hidden="1" x14ac:dyDescent="0.3">
      <c r="A422" s="5" t="s">
        <v>25</v>
      </c>
      <c r="B422" s="6">
        <v>0.81826583333333336</v>
      </c>
      <c r="C422">
        <v>6.23</v>
      </c>
      <c r="D422">
        <v>0.01</v>
      </c>
      <c r="E422">
        <v>9.8000000000000007</v>
      </c>
      <c r="F422">
        <v>0</v>
      </c>
      <c r="G422">
        <v>0.04</v>
      </c>
      <c r="H422">
        <v>0.14000000000000001</v>
      </c>
      <c r="I422">
        <v>0.1</v>
      </c>
      <c r="J422">
        <v>0.18</v>
      </c>
      <c r="K422">
        <v>60.01</v>
      </c>
      <c r="L422" s="5" t="s">
        <v>19</v>
      </c>
    </row>
    <row r="423" spans="1:12" hidden="1" x14ac:dyDescent="0.3">
      <c r="A423" s="5" t="s">
        <v>25</v>
      </c>
      <c r="B423" s="6">
        <v>0.8182774074074074</v>
      </c>
      <c r="C423">
        <v>6.26</v>
      </c>
      <c r="D423">
        <v>0.01</v>
      </c>
      <c r="E423">
        <v>9.5</v>
      </c>
      <c r="F423">
        <v>0</v>
      </c>
      <c r="G423">
        <v>0.04</v>
      </c>
      <c r="H423">
        <v>0.14000000000000001</v>
      </c>
      <c r="I423">
        <v>0.1</v>
      </c>
      <c r="J423">
        <v>0.18</v>
      </c>
      <c r="K423">
        <v>60.01</v>
      </c>
      <c r="L423" s="5" t="s">
        <v>19</v>
      </c>
    </row>
    <row r="424" spans="1:12" hidden="1" x14ac:dyDescent="0.3">
      <c r="A424" s="5" t="s">
        <v>25</v>
      </c>
      <c r="B424" s="6">
        <v>0.81828898148148144</v>
      </c>
      <c r="C424">
        <v>6.24</v>
      </c>
      <c r="D424">
        <v>0.01</v>
      </c>
      <c r="E424">
        <v>9.5</v>
      </c>
      <c r="F424">
        <v>0</v>
      </c>
      <c r="G424">
        <v>0.04</v>
      </c>
      <c r="H424">
        <v>0.14000000000000001</v>
      </c>
      <c r="I424">
        <v>0.1</v>
      </c>
      <c r="J424">
        <v>0.18</v>
      </c>
      <c r="K424">
        <v>60.009</v>
      </c>
      <c r="L424" s="5" t="s">
        <v>19</v>
      </c>
    </row>
    <row r="425" spans="1:12" hidden="1" x14ac:dyDescent="0.3">
      <c r="A425" s="5" t="s">
        <v>25</v>
      </c>
      <c r="B425" s="6">
        <v>0.81830055555555559</v>
      </c>
      <c r="C425">
        <v>6.26</v>
      </c>
      <c r="D425">
        <v>0.01</v>
      </c>
      <c r="E425">
        <v>9.5</v>
      </c>
      <c r="F425">
        <v>0</v>
      </c>
      <c r="G425">
        <v>0.04</v>
      </c>
      <c r="H425">
        <v>0.14000000000000001</v>
      </c>
      <c r="I425">
        <v>0.1</v>
      </c>
      <c r="J425">
        <v>0.18</v>
      </c>
      <c r="K425">
        <v>60.01</v>
      </c>
      <c r="L425" s="5" t="s">
        <v>19</v>
      </c>
    </row>
    <row r="426" spans="1:12" hidden="1" x14ac:dyDescent="0.3">
      <c r="A426" s="5" t="s">
        <v>25</v>
      </c>
      <c r="B426" s="6">
        <v>0.81831212962962963</v>
      </c>
      <c r="C426">
        <v>6.71</v>
      </c>
      <c r="D426">
        <v>0.01</v>
      </c>
      <c r="E426">
        <v>9.5</v>
      </c>
      <c r="F426">
        <v>0</v>
      </c>
      <c r="G426">
        <v>0.04</v>
      </c>
      <c r="H426">
        <v>0.14000000000000001</v>
      </c>
      <c r="I426">
        <v>0.1</v>
      </c>
      <c r="J426">
        <v>0.18</v>
      </c>
      <c r="K426">
        <v>60.006</v>
      </c>
      <c r="L426" s="5" t="s">
        <v>19</v>
      </c>
    </row>
    <row r="427" spans="1:12" hidden="1" x14ac:dyDescent="0.3">
      <c r="A427" s="5" t="s">
        <v>25</v>
      </c>
      <c r="B427" s="6">
        <v>0.81832370370370366</v>
      </c>
      <c r="C427">
        <v>6.77</v>
      </c>
      <c r="D427">
        <v>0.01</v>
      </c>
      <c r="E427">
        <v>9.5</v>
      </c>
      <c r="F427">
        <v>0</v>
      </c>
      <c r="G427">
        <v>0.04</v>
      </c>
      <c r="H427">
        <v>0.15</v>
      </c>
      <c r="I427">
        <v>0.1</v>
      </c>
      <c r="J427">
        <v>0.18</v>
      </c>
      <c r="K427">
        <v>60.008000000000003</v>
      </c>
      <c r="L427" s="5" t="s">
        <v>19</v>
      </c>
    </row>
    <row r="428" spans="1:12" hidden="1" x14ac:dyDescent="0.3">
      <c r="A428" s="5" t="s">
        <v>25</v>
      </c>
      <c r="B428" s="6">
        <v>0.81833527777777781</v>
      </c>
      <c r="C428">
        <v>6.77</v>
      </c>
      <c r="D428">
        <v>0.01</v>
      </c>
      <c r="E428">
        <v>9.5</v>
      </c>
      <c r="F428">
        <v>0</v>
      </c>
      <c r="G428">
        <v>0.04</v>
      </c>
      <c r="H428">
        <v>0.15</v>
      </c>
      <c r="I428">
        <v>0.1</v>
      </c>
      <c r="J428">
        <v>0.18</v>
      </c>
      <c r="K428">
        <v>60.006999999999998</v>
      </c>
      <c r="L428" s="5" t="s">
        <v>19</v>
      </c>
    </row>
    <row r="429" spans="1:12" hidden="1" x14ac:dyDescent="0.3">
      <c r="A429" s="5" t="s">
        <v>25</v>
      </c>
      <c r="B429" s="6">
        <v>0.81834685185185185</v>
      </c>
      <c r="C429">
        <v>6.77</v>
      </c>
      <c r="D429">
        <v>0.01</v>
      </c>
      <c r="E429">
        <v>9.5</v>
      </c>
      <c r="F429">
        <v>0</v>
      </c>
      <c r="G429">
        <v>0.04</v>
      </c>
      <c r="H429">
        <v>0.15</v>
      </c>
      <c r="I429">
        <v>0.1</v>
      </c>
      <c r="J429">
        <v>0.18</v>
      </c>
      <c r="K429">
        <v>60.008000000000003</v>
      </c>
      <c r="L429" s="5" t="s">
        <v>19</v>
      </c>
    </row>
    <row r="430" spans="1:12" hidden="1" x14ac:dyDescent="0.3">
      <c r="A430" s="5" t="s">
        <v>25</v>
      </c>
      <c r="B430" s="6">
        <v>0.81835842592592589</v>
      </c>
      <c r="C430">
        <v>6.77</v>
      </c>
      <c r="D430">
        <v>0.01</v>
      </c>
      <c r="E430">
        <v>9.5</v>
      </c>
      <c r="F430">
        <v>0</v>
      </c>
      <c r="G430">
        <v>0.04</v>
      </c>
      <c r="H430">
        <v>0.15</v>
      </c>
      <c r="I430">
        <v>0.1</v>
      </c>
      <c r="J430">
        <v>0.18</v>
      </c>
      <c r="K430">
        <v>60.008000000000003</v>
      </c>
      <c r="L430" s="5" t="s">
        <v>19</v>
      </c>
    </row>
    <row r="431" spans="1:12" hidden="1" x14ac:dyDescent="0.3">
      <c r="A431" s="5" t="s">
        <v>25</v>
      </c>
      <c r="B431" s="6">
        <v>0.81837000000000004</v>
      </c>
      <c r="C431">
        <v>6.77</v>
      </c>
      <c r="D431">
        <v>0.01</v>
      </c>
      <c r="E431">
        <v>9.5</v>
      </c>
      <c r="F431">
        <v>0</v>
      </c>
      <c r="G431">
        <v>0.04</v>
      </c>
      <c r="H431">
        <v>0.15</v>
      </c>
      <c r="I431">
        <v>0.1</v>
      </c>
      <c r="J431">
        <v>0.18</v>
      </c>
      <c r="K431">
        <v>60.009</v>
      </c>
      <c r="L431" s="5" t="s">
        <v>19</v>
      </c>
    </row>
    <row r="432" spans="1:12" hidden="1" x14ac:dyDescent="0.3">
      <c r="A432" s="5" t="s">
        <v>25</v>
      </c>
      <c r="B432" s="6">
        <v>0.81838157407407408</v>
      </c>
      <c r="C432">
        <v>6.77</v>
      </c>
      <c r="D432">
        <v>0.01</v>
      </c>
      <c r="E432">
        <v>9.5</v>
      </c>
      <c r="F432">
        <v>0</v>
      </c>
      <c r="G432">
        <v>0.04</v>
      </c>
      <c r="H432">
        <v>0.15</v>
      </c>
      <c r="I432">
        <v>0.1</v>
      </c>
      <c r="J432">
        <v>0.18</v>
      </c>
      <c r="K432">
        <v>60.01</v>
      </c>
      <c r="L432" s="5" t="s">
        <v>19</v>
      </c>
    </row>
    <row r="433" spans="1:12" hidden="1" x14ac:dyDescent="0.3">
      <c r="A433" s="5" t="s">
        <v>25</v>
      </c>
      <c r="B433" s="6">
        <v>0.81839314814814812</v>
      </c>
      <c r="C433">
        <v>6.77</v>
      </c>
      <c r="D433">
        <v>0.01</v>
      </c>
      <c r="E433">
        <v>9.5</v>
      </c>
      <c r="F433">
        <v>0</v>
      </c>
      <c r="G433">
        <v>0.04</v>
      </c>
      <c r="H433">
        <v>0.15</v>
      </c>
      <c r="I433">
        <v>0.1</v>
      </c>
      <c r="J433">
        <v>0.18</v>
      </c>
      <c r="K433">
        <v>60.009</v>
      </c>
      <c r="L433" s="5" t="s">
        <v>19</v>
      </c>
    </row>
    <row r="434" spans="1:12" hidden="1" x14ac:dyDescent="0.3">
      <c r="A434" s="5" t="s">
        <v>25</v>
      </c>
      <c r="B434" s="6">
        <v>0.81840472222222227</v>
      </c>
      <c r="C434">
        <v>6.77</v>
      </c>
      <c r="D434">
        <v>0.01</v>
      </c>
      <c r="E434">
        <v>9.5</v>
      </c>
      <c r="F434">
        <v>0</v>
      </c>
      <c r="G434">
        <v>0.04</v>
      </c>
      <c r="H434">
        <v>0.15</v>
      </c>
      <c r="I434">
        <v>0.1</v>
      </c>
      <c r="J434">
        <v>0.18</v>
      </c>
      <c r="K434">
        <v>60.01</v>
      </c>
      <c r="L434" s="5" t="s">
        <v>19</v>
      </c>
    </row>
    <row r="435" spans="1:12" hidden="1" x14ac:dyDescent="0.3">
      <c r="A435" s="5" t="s">
        <v>25</v>
      </c>
      <c r="B435" s="6">
        <v>0.81841629629629631</v>
      </c>
      <c r="C435">
        <v>6.77</v>
      </c>
      <c r="D435">
        <v>0.01</v>
      </c>
      <c r="E435">
        <v>9.5</v>
      </c>
      <c r="F435">
        <v>0</v>
      </c>
      <c r="G435">
        <v>0.04</v>
      </c>
      <c r="H435">
        <v>0.14000000000000001</v>
      </c>
      <c r="I435">
        <v>0.1</v>
      </c>
      <c r="J435">
        <v>0.18</v>
      </c>
      <c r="K435">
        <v>60.009</v>
      </c>
      <c r="L435" s="5" t="s">
        <v>19</v>
      </c>
    </row>
    <row r="436" spans="1:12" hidden="1" x14ac:dyDescent="0.3">
      <c r="A436" s="5" t="s">
        <v>25</v>
      </c>
      <c r="B436" s="6">
        <v>0.81842787037037035</v>
      </c>
      <c r="C436">
        <v>6.77</v>
      </c>
      <c r="D436">
        <v>0.01</v>
      </c>
      <c r="E436">
        <v>9.5</v>
      </c>
      <c r="F436">
        <v>0</v>
      </c>
      <c r="G436">
        <v>0.04</v>
      </c>
      <c r="H436">
        <v>0.15</v>
      </c>
      <c r="I436">
        <v>0.1</v>
      </c>
      <c r="J436">
        <v>0.18</v>
      </c>
      <c r="K436">
        <v>60.012999999999998</v>
      </c>
      <c r="L436" s="5" t="s">
        <v>19</v>
      </c>
    </row>
    <row r="437" spans="1:12" hidden="1" x14ac:dyDescent="0.3">
      <c r="A437" s="5" t="s">
        <v>25</v>
      </c>
      <c r="B437" s="6">
        <v>0.8184394444444445</v>
      </c>
      <c r="C437">
        <v>6.75</v>
      </c>
      <c r="D437">
        <v>0.01</v>
      </c>
      <c r="E437">
        <v>9.5</v>
      </c>
      <c r="F437">
        <v>0</v>
      </c>
      <c r="G437">
        <v>0.04</v>
      </c>
      <c r="H437">
        <v>0.14000000000000001</v>
      </c>
      <c r="I437">
        <v>0.1</v>
      </c>
      <c r="J437">
        <v>0.18</v>
      </c>
      <c r="K437">
        <v>60.012999999999998</v>
      </c>
      <c r="L437" s="5" t="s">
        <v>19</v>
      </c>
    </row>
    <row r="438" spans="1:12" hidden="1" x14ac:dyDescent="0.3">
      <c r="A438" s="5" t="s">
        <v>25</v>
      </c>
      <c r="B438" s="6">
        <v>0.81845101851851854</v>
      </c>
      <c r="C438">
        <v>6.61</v>
      </c>
      <c r="D438">
        <v>0.01</v>
      </c>
      <c r="E438">
        <v>9.1999999999999993</v>
      </c>
      <c r="F438">
        <v>0</v>
      </c>
      <c r="G438">
        <v>0.04</v>
      </c>
      <c r="H438">
        <v>0.14000000000000001</v>
      </c>
      <c r="I438">
        <v>0.1</v>
      </c>
      <c r="J438">
        <v>0.18</v>
      </c>
      <c r="K438">
        <v>60.012999999999998</v>
      </c>
      <c r="L438" s="5" t="s">
        <v>19</v>
      </c>
    </row>
    <row r="439" spans="1:12" hidden="1" x14ac:dyDescent="0.3">
      <c r="A439" s="5" t="s">
        <v>25</v>
      </c>
      <c r="B439" s="6">
        <v>0.81846259259259257</v>
      </c>
      <c r="C439">
        <v>6.61</v>
      </c>
      <c r="D439">
        <v>0.01</v>
      </c>
      <c r="E439">
        <v>9.1999999999999993</v>
      </c>
      <c r="F439">
        <v>0</v>
      </c>
      <c r="G439">
        <v>0.04</v>
      </c>
      <c r="H439">
        <v>0.14000000000000001</v>
      </c>
      <c r="I439">
        <v>0.1</v>
      </c>
      <c r="J439">
        <v>0.18</v>
      </c>
      <c r="K439">
        <v>60.012999999999998</v>
      </c>
      <c r="L439" s="5" t="s">
        <v>19</v>
      </c>
    </row>
    <row r="440" spans="1:12" hidden="1" x14ac:dyDescent="0.3">
      <c r="A440" s="5" t="s">
        <v>25</v>
      </c>
      <c r="B440" s="6">
        <v>0.81847416666666661</v>
      </c>
      <c r="C440">
        <v>6.27</v>
      </c>
      <c r="D440">
        <v>0.01</v>
      </c>
      <c r="E440">
        <v>9.1</v>
      </c>
      <c r="F440">
        <v>0</v>
      </c>
      <c r="G440">
        <v>0.04</v>
      </c>
      <c r="H440">
        <v>0.14000000000000001</v>
      </c>
      <c r="I440">
        <v>0.1</v>
      </c>
      <c r="J440">
        <v>0.18</v>
      </c>
      <c r="K440">
        <v>60.01</v>
      </c>
      <c r="L440" s="5" t="s">
        <v>19</v>
      </c>
    </row>
    <row r="441" spans="1:12" hidden="1" x14ac:dyDescent="0.3">
      <c r="A441" s="5" t="s">
        <v>25</v>
      </c>
      <c r="B441" s="6">
        <v>0.81848574074074076</v>
      </c>
      <c r="C441">
        <v>5.64</v>
      </c>
      <c r="D441">
        <v>0.01</v>
      </c>
      <c r="E441">
        <v>8.6</v>
      </c>
      <c r="F441">
        <v>0</v>
      </c>
      <c r="G441">
        <v>0.04</v>
      </c>
      <c r="H441">
        <v>0.15</v>
      </c>
      <c r="I441">
        <v>0.1</v>
      </c>
      <c r="J441">
        <v>0.18</v>
      </c>
      <c r="K441">
        <v>60.006</v>
      </c>
      <c r="L441" s="5" t="s">
        <v>19</v>
      </c>
    </row>
    <row r="442" spans="1:12" hidden="1" x14ac:dyDescent="0.3">
      <c r="A442" s="5" t="s">
        <v>25</v>
      </c>
      <c r="B442" s="6">
        <v>0.8184973148148148</v>
      </c>
      <c r="C442">
        <v>5.67</v>
      </c>
      <c r="D442">
        <v>0.01</v>
      </c>
      <c r="E442">
        <v>8.6</v>
      </c>
      <c r="F442">
        <v>0</v>
      </c>
      <c r="G442">
        <v>0.04</v>
      </c>
      <c r="H442">
        <v>0.15</v>
      </c>
      <c r="I442">
        <v>0.1</v>
      </c>
      <c r="J442">
        <v>0.18</v>
      </c>
      <c r="K442">
        <v>60.006</v>
      </c>
      <c r="L442" s="5" t="s">
        <v>19</v>
      </c>
    </row>
    <row r="443" spans="1:12" hidden="1" x14ac:dyDescent="0.3">
      <c r="A443" s="5" t="s">
        <v>25</v>
      </c>
      <c r="B443" s="6">
        <v>0.81850888888888884</v>
      </c>
      <c r="C443">
        <v>5.64</v>
      </c>
      <c r="D443">
        <v>0.01</v>
      </c>
      <c r="E443">
        <v>8.6</v>
      </c>
      <c r="F443">
        <v>0</v>
      </c>
      <c r="G443">
        <v>0.04</v>
      </c>
      <c r="H443">
        <v>0.15</v>
      </c>
      <c r="I443">
        <v>0.1</v>
      </c>
      <c r="J443">
        <v>0.18</v>
      </c>
      <c r="K443">
        <v>60.006</v>
      </c>
      <c r="L443" s="5" t="s">
        <v>19</v>
      </c>
    </row>
    <row r="444" spans="1:12" hidden="1" x14ac:dyDescent="0.3">
      <c r="A444" s="5" t="s">
        <v>25</v>
      </c>
      <c r="B444" s="6">
        <v>0.81852046296296299</v>
      </c>
      <c r="C444">
        <v>5.6</v>
      </c>
      <c r="D444">
        <v>0.01</v>
      </c>
      <c r="E444">
        <v>8.6</v>
      </c>
      <c r="F444">
        <v>0</v>
      </c>
      <c r="G444">
        <v>0.04</v>
      </c>
      <c r="H444">
        <v>0.15</v>
      </c>
      <c r="I444">
        <v>0.1</v>
      </c>
      <c r="J444">
        <v>0.18</v>
      </c>
      <c r="K444">
        <v>60.006</v>
      </c>
      <c r="L444" s="5" t="s">
        <v>19</v>
      </c>
    </row>
    <row r="445" spans="1:12" hidden="1" x14ac:dyDescent="0.3">
      <c r="A445" s="5" t="s">
        <v>25</v>
      </c>
      <c r="B445" s="6">
        <v>0.81853203703703703</v>
      </c>
      <c r="C445">
        <v>5.1100000000000003</v>
      </c>
      <c r="D445">
        <v>0.01</v>
      </c>
      <c r="E445">
        <v>8.1</v>
      </c>
      <c r="F445">
        <v>0</v>
      </c>
      <c r="G445">
        <v>0.04</v>
      </c>
      <c r="H445">
        <v>0.14000000000000001</v>
      </c>
      <c r="I445">
        <v>0.1</v>
      </c>
      <c r="J445">
        <v>0.18</v>
      </c>
      <c r="K445">
        <v>60.015000000000001</v>
      </c>
      <c r="L445" s="5" t="s">
        <v>19</v>
      </c>
    </row>
    <row r="446" spans="1:12" hidden="1" x14ac:dyDescent="0.3">
      <c r="A446" s="5" t="s">
        <v>25</v>
      </c>
      <c r="B446" s="6">
        <v>0.81854361111111107</v>
      </c>
      <c r="C446">
        <v>4.93</v>
      </c>
      <c r="D446">
        <v>0.01</v>
      </c>
      <c r="E446">
        <v>7.7</v>
      </c>
      <c r="F446">
        <v>0</v>
      </c>
      <c r="G446">
        <v>0.04</v>
      </c>
      <c r="H446">
        <v>0.15</v>
      </c>
      <c r="I446">
        <v>0.1</v>
      </c>
      <c r="J446">
        <v>0.18</v>
      </c>
      <c r="K446">
        <v>60.015000000000001</v>
      </c>
      <c r="L446" s="5" t="s">
        <v>19</v>
      </c>
    </row>
    <row r="447" spans="1:12" hidden="1" x14ac:dyDescent="0.3">
      <c r="A447" s="5" t="s">
        <v>25</v>
      </c>
      <c r="B447" s="6">
        <v>0.81855518518518522</v>
      </c>
      <c r="C447">
        <v>5.18</v>
      </c>
      <c r="D447">
        <v>0.01</v>
      </c>
      <c r="E447">
        <v>8.1</v>
      </c>
      <c r="F447">
        <v>0</v>
      </c>
      <c r="G447">
        <v>0.04</v>
      </c>
      <c r="H447">
        <v>0.15</v>
      </c>
      <c r="I447">
        <v>0.1</v>
      </c>
      <c r="J447">
        <v>0.18</v>
      </c>
      <c r="K447">
        <v>60.015999999999998</v>
      </c>
      <c r="L447" s="5" t="s">
        <v>19</v>
      </c>
    </row>
    <row r="448" spans="1:12" hidden="1" x14ac:dyDescent="0.3">
      <c r="A448" s="5" t="s">
        <v>25</v>
      </c>
      <c r="B448" s="6">
        <v>0.81856675925925926</v>
      </c>
      <c r="C448">
        <v>4.82</v>
      </c>
      <c r="D448">
        <v>0.01</v>
      </c>
      <c r="E448">
        <v>7.7</v>
      </c>
      <c r="F448">
        <v>0</v>
      </c>
      <c r="G448">
        <v>0.04</v>
      </c>
      <c r="H448">
        <v>0.14000000000000001</v>
      </c>
      <c r="I448">
        <v>0.1</v>
      </c>
      <c r="J448">
        <v>0.18</v>
      </c>
      <c r="K448">
        <v>60.015000000000001</v>
      </c>
      <c r="L448" s="5" t="s">
        <v>19</v>
      </c>
    </row>
    <row r="449" spans="1:12" hidden="1" x14ac:dyDescent="0.3">
      <c r="A449" s="5" t="s">
        <v>25</v>
      </c>
      <c r="B449" s="6">
        <v>0.8185783333333333</v>
      </c>
      <c r="C449">
        <v>5.29</v>
      </c>
      <c r="D449">
        <v>0.01</v>
      </c>
      <c r="E449">
        <v>8.1</v>
      </c>
      <c r="F449">
        <v>0</v>
      </c>
      <c r="G449">
        <v>0.04</v>
      </c>
      <c r="H449">
        <v>0.14000000000000001</v>
      </c>
      <c r="I449">
        <v>0.1</v>
      </c>
      <c r="J449">
        <v>0.18</v>
      </c>
      <c r="K449">
        <v>60.014000000000003</v>
      </c>
      <c r="L449" s="5" t="s">
        <v>19</v>
      </c>
    </row>
    <row r="450" spans="1:12" hidden="1" x14ac:dyDescent="0.3">
      <c r="A450" s="5" t="s">
        <v>25</v>
      </c>
      <c r="B450" s="6">
        <v>0.81858990740740745</v>
      </c>
      <c r="C450">
        <v>4.8099999999999996</v>
      </c>
      <c r="D450">
        <v>0.01</v>
      </c>
      <c r="E450">
        <v>7.6</v>
      </c>
      <c r="F450">
        <v>0</v>
      </c>
      <c r="G450">
        <v>0.04</v>
      </c>
      <c r="H450">
        <v>0.14000000000000001</v>
      </c>
      <c r="I450">
        <v>0.1</v>
      </c>
      <c r="J450">
        <v>0.18</v>
      </c>
      <c r="K450">
        <v>60.018999999999998</v>
      </c>
      <c r="L450" s="5" t="s">
        <v>19</v>
      </c>
    </row>
    <row r="451" spans="1:12" hidden="1" x14ac:dyDescent="0.3">
      <c r="A451" s="5" t="s">
        <v>25</v>
      </c>
      <c r="B451" s="6">
        <v>0.81860148148148149</v>
      </c>
      <c r="C451">
        <v>5.12</v>
      </c>
      <c r="D451">
        <v>0.01</v>
      </c>
      <c r="E451">
        <v>8</v>
      </c>
      <c r="F451">
        <v>0</v>
      </c>
      <c r="G451">
        <v>0.04</v>
      </c>
      <c r="H451">
        <v>0.14000000000000001</v>
      </c>
      <c r="I451">
        <v>0.1</v>
      </c>
      <c r="J451">
        <v>0.18</v>
      </c>
      <c r="K451">
        <v>60.021000000000001</v>
      </c>
      <c r="L451" s="5" t="s">
        <v>19</v>
      </c>
    </row>
    <row r="452" spans="1:12" hidden="1" x14ac:dyDescent="0.3">
      <c r="A452" s="5" t="s">
        <v>25</v>
      </c>
      <c r="B452" s="6">
        <v>0.81861305555555552</v>
      </c>
      <c r="C452">
        <v>4.97</v>
      </c>
      <c r="D452">
        <v>0.01</v>
      </c>
      <c r="E452">
        <v>7.8</v>
      </c>
      <c r="F452">
        <v>0</v>
      </c>
      <c r="G452">
        <v>0.04</v>
      </c>
      <c r="H452">
        <v>0.14000000000000001</v>
      </c>
      <c r="I452">
        <v>0.1</v>
      </c>
      <c r="J452">
        <v>0.18</v>
      </c>
      <c r="K452">
        <v>60.021999999999998</v>
      </c>
      <c r="L452" s="5" t="s">
        <v>19</v>
      </c>
    </row>
    <row r="453" spans="1:12" hidden="1" x14ac:dyDescent="0.3">
      <c r="A453" s="5" t="s">
        <v>25</v>
      </c>
      <c r="B453" s="6">
        <v>0.81862462962962967</v>
      </c>
      <c r="C453">
        <v>4.8600000000000003</v>
      </c>
      <c r="D453">
        <v>0.01</v>
      </c>
      <c r="E453">
        <v>7.6</v>
      </c>
      <c r="F453">
        <v>0</v>
      </c>
      <c r="G453">
        <v>0.04</v>
      </c>
      <c r="H453">
        <v>0.14000000000000001</v>
      </c>
      <c r="I453">
        <v>0.1</v>
      </c>
      <c r="J453">
        <v>0.18</v>
      </c>
      <c r="K453">
        <v>60.021000000000001</v>
      </c>
      <c r="L453" s="5" t="s">
        <v>19</v>
      </c>
    </row>
    <row r="454" spans="1:12" hidden="1" x14ac:dyDescent="0.3">
      <c r="A454" s="5" t="s">
        <v>25</v>
      </c>
      <c r="B454" s="6">
        <v>0.81863620370370371</v>
      </c>
      <c r="C454">
        <v>5.16</v>
      </c>
      <c r="D454">
        <v>0.01</v>
      </c>
      <c r="E454">
        <v>7.9</v>
      </c>
      <c r="F454">
        <v>0</v>
      </c>
      <c r="G454">
        <v>0.04</v>
      </c>
      <c r="H454">
        <v>0.14000000000000001</v>
      </c>
      <c r="I454">
        <v>0.1</v>
      </c>
      <c r="J454">
        <v>0.18</v>
      </c>
      <c r="K454">
        <v>60.02</v>
      </c>
      <c r="L454" s="5" t="s">
        <v>19</v>
      </c>
    </row>
    <row r="455" spans="1:12" hidden="1" x14ac:dyDescent="0.3">
      <c r="A455" s="5" t="s">
        <v>25</v>
      </c>
      <c r="B455" s="6">
        <v>0.81864777777777775</v>
      </c>
      <c r="C455">
        <v>4.78</v>
      </c>
      <c r="D455">
        <v>0.01</v>
      </c>
      <c r="E455">
        <v>7.5</v>
      </c>
      <c r="F455">
        <v>0</v>
      </c>
      <c r="G455">
        <v>0.04</v>
      </c>
      <c r="H455">
        <v>0.14000000000000001</v>
      </c>
      <c r="I455">
        <v>0.1</v>
      </c>
      <c r="J455">
        <v>0.18</v>
      </c>
      <c r="K455">
        <v>60.012999999999998</v>
      </c>
      <c r="L455" s="5" t="s">
        <v>19</v>
      </c>
    </row>
    <row r="456" spans="1:12" hidden="1" x14ac:dyDescent="0.3">
      <c r="A456" s="5" t="s">
        <v>25</v>
      </c>
      <c r="B456" s="6">
        <v>0.8186593518518519</v>
      </c>
      <c r="C456">
        <v>5.18</v>
      </c>
      <c r="D456">
        <v>0.01</v>
      </c>
      <c r="E456">
        <v>7.9</v>
      </c>
      <c r="F456">
        <v>0</v>
      </c>
      <c r="G456">
        <v>0.04</v>
      </c>
      <c r="H456">
        <v>0.14000000000000001</v>
      </c>
      <c r="I456">
        <v>0.1</v>
      </c>
      <c r="J456">
        <v>0.18</v>
      </c>
      <c r="K456">
        <v>60.01</v>
      </c>
      <c r="L456" s="5" t="s">
        <v>19</v>
      </c>
    </row>
    <row r="457" spans="1:12" hidden="1" x14ac:dyDescent="0.3">
      <c r="A457" s="5" t="s">
        <v>25</v>
      </c>
      <c r="B457" s="6">
        <v>0.81867092592592594</v>
      </c>
      <c r="C457">
        <v>4.76</v>
      </c>
      <c r="D457">
        <v>0.01</v>
      </c>
      <c r="E457">
        <v>7.5</v>
      </c>
      <c r="F457">
        <v>0</v>
      </c>
      <c r="G457">
        <v>0.04</v>
      </c>
      <c r="H457">
        <v>0.15</v>
      </c>
      <c r="I457">
        <v>0.1</v>
      </c>
      <c r="J457">
        <v>0.18</v>
      </c>
      <c r="K457">
        <v>60.011000000000003</v>
      </c>
      <c r="L457" s="5" t="s">
        <v>19</v>
      </c>
    </row>
    <row r="458" spans="1:12" hidden="1" x14ac:dyDescent="0.3">
      <c r="A458" s="5" t="s">
        <v>25</v>
      </c>
      <c r="B458" s="6">
        <v>0.81868249999999998</v>
      </c>
      <c r="C458">
        <v>5.07</v>
      </c>
      <c r="D458">
        <v>0.01</v>
      </c>
      <c r="E458">
        <v>7.9</v>
      </c>
      <c r="F458">
        <v>0</v>
      </c>
      <c r="G458">
        <v>0.04</v>
      </c>
      <c r="H458">
        <v>0.14000000000000001</v>
      </c>
      <c r="I458">
        <v>0.1</v>
      </c>
      <c r="J458">
        <v>0.18</v>
      </c>
      <c r="K458">
        <v>60.008000000000003</v>
      </c>
      <c r="L458" s="5" t="s">
        <v>19</v>
      </c>
    </row>
    <row r="459" spans="1:12" hidden="1" x14ac:dyDescent="0.3">
      <c r="A459" s="5" t="s">
        <v>25</v>
      </c>
      <c r="B459" s="6">
        <v>0.81869407407407402</v>
      </c>
      <c r="C459">
        <v>4.83</v>
      </c>
      <c r="D459">
        <v>0.01</v>
      </c>
      <c r="E459">
        <v>7.4</v>
      </c>
      <c r="F459">
        <v>0</v>
      </c>
      <c r="G459">
        <v>0.04</v>
      </c>
      <c r="H459">
        <v>0.14000000000000001</v>
      </c>
      <c r="I459">
        <v>0.1</v>
      </c>
      <c r="J459">
        <v>0.18</v>
      </c>
      <c r="K459">
        <v>60.01</v>
      </c>
      <c r="L459" s="5" t="s">
        <v>19</v>
      </c>
    </row>
    <row r="460" spans="1:12" hidden="1" x14ac:dyDescent="0.3">
      <c r="A460" s="5" t="s">
        <v>25</v>
      </c>
      <c r="B460" s="6">
        <v>0.81870564814814817</v>
      </c>
      <c r="C460">
        <v>4.92</v>
      </c>
      <c r="D460">
        <v>0.01</v>
      </c>
      <c r="E460">
        <v>7.7</v>
      </c>
      <c r="F460">
        <v>0</v>
      </c>
      <c r="G460">
        <v>0.04</v>
      </c>
      <c r="H460">
        <v>0.14000000000000001</v>
      </c>
      <c r="I460">
        <v>0.1</v>
      </c>
      <c r="J460">
        <v>0.18</v>
      </c>
      <c r="K460">
        <v>60.008000000000003</v>
      </c>
      <c r="L460" s="5" t="s">
        <v>19</v>
      </c>
    </row>
    <row r="461" spans="1:12" hidden="1" x14ac:dyDescent="0.3">
      <c r="A461" s="5" t="s">
        <v>25</v>
      </c>
      <c r="B461" s="6">
        <v>0.81871722222222221</v>
      </c>
      <c r="C461">
        <v>5.0999999999999996</v>
      </c>
      <c r="D461">
        <v>0.01</v>
      </c>
      <c r="E461">
        <v>7.8</v>
      </c>
      <c r="F461">
        <v>0</v>
      </c>
      <c r="G461">
        <v>0.04</v>
      </c>
      <c r="H461">
        <v>0.15</v>
      </c>
      <c r="I461">
        <v>0.1</v>
      </c>
      <c r="J461">
        <v>0.18</v>
      </c>
      <c r="K461">
        <v>60.008000000000003</v>
      </c>
      <c r="L461" s="5" t="s">
        <v>19</v>
      </c>
    </row>
    <row r="462" spans="1:12" hidden="1" x14ac:dyDescent="0.3">
      <c r="A462" s="5" t="s">
        <v>25</v>
      </c>
      <c r="B462" s="6">
        <v>0.81872879629629625</v>
      </c>
      <c r="C462">
        <v>4.79</v>
      </c>
      <c r="D462">
        <v>0.01</v>
      </c>
      <c r="E462">
        <v>7.4</v>
      </c>
      <c r="F462">
        <v>0</v>
      </c>
      <c r="G462">
        <v>0.04</v>
      </c>
      <c r="H462">
        <v>0.15</v>
      </c>
      <c r="I462">
        <v>0.1</v>
      </c>
      <c r="J462">
        <v>0.18</v>
      </c>
      <c r="K462">
        <v>60.009</v>
      </c>
      <c r="L462" s="5" t="s">
        <v>19</v>
      </c>
    </row>
    <row r="463" spans="1:12" hidden="1" x14ac:dyDescent="0.3">
      <c r="A463" s="5" t="s">
        <v>25</v>
      </c>
      <c r="B463" s="6">
        <v>0.8187403703703704</v>
      </c>
      <c r="C463">
        <v>5.09</v>
      </c>
      <c r="D463">
        <v>0.01</v>
      </c>
      <c r="E463">
        <v>7.8</v>
      </c>
      <c r="F463">
        <v>0</v>
      </c>
      <c r="G463">
        <v>0.04</v>
      </c>
      <c r="H463">
        <v>0.14000000000000001</v>
      </c>
      <c r="I463">
        <v>0.1</v>
      </c>
      <c r="J463">
        <v>0.18</v>
      </c>
      <c r="K463">
        <v>60.006999999999998</v>
      </c>
      <c r="L463" s="5" t="s">
        <v>19</v>
      </c>
    </row>
    <row r="464" spans="1:12" hidden="1" x14ac:dyDescent="0.3">
      <c r="A464" s="5" t="s">
        <v>25</v>
      </c>
      <c r="B464" s="6">
        <v>0.81875194444444443</v>
      </c>
      <c r="C464">
        <v>4.74</v>
      </c>
      <c r="D464">
        <v>0.01</v>
      </c>
      <c r="E464">
        <v>7.2</v>
      </c>
      <c r="F464">
        <v>0</v>
      </c>
      <c r="G464">
        <v>0.04</v>
      </c>
      <c r="H464">
        <v>0.14000000000000001</v>
      </c>
      <c r="I464">
        <v>0.1</v>
      </c>
      <c r="J464">
        <v>0.18</v>
      </c>
      <c r="K464">
        <v>60.01</v>
      </c>
      <c r="L464" s="5" t="s">
        <v>19</v>
      </c>
    </row>
    <row r="465" spans="1:12" hidden="1" x14ac:dyDescent="0.3">
      <c r="A465" s="5" t="s">
        <v>25</v>
      </c>
      <c r="B465" s="6">
        <v>0.81876351851851847</v>
      </c>
      <c r="C465">
        <v>4.91</v>
      </c>
      <c r="D465">
        <v>0.01</v>
      </c>
      <c r="E465">
        <v>7.5</v>
      </c>
      <c r="F465">
        <v>0</v>
      </c>
      <c r="G465">
        <v>0.04</v>
      </c>
      <c r="H465">
        <v>0.14000000000000001</v>
      </c>
      <c r="I465">
        <v>0.1</v>
      </c>
      <c r="J465">
        <v>0.18</v>
      </c>
      <c r="K465">
        <v>60.006999999999998</v>
      </c>
      <c r="L465" s="5" t="s">
        <v>19</v>
      </c>
    </row>
    <row r="466" spans="1:12" hidden="1" x14ac:dyDescent="0.3">
      <c r="A466" s="5" t="s">
        <v>25</v>
      </c>
      <c r="B466" s="6">
        <v>0.81877509259259262</v>
      </c>
      <c r="C466">
        <v>4.87</v>
      </c>
      <c r="D466">
        <v>0.01</v>
      </c>
      <c r="E466">
        <v>7.5</v>
      </c>
      <c r="F466">
        <v>0</v>
      </c>
      <c r="G466">
        <v>0.04</v>
      </c>
      <c r="H466">
        <v>0.14000000000000001</v>
      </c>
      <c r="I466">
        <v>0.1</v>
      </c>
      <c r="J466">
        <v>0.18</v>
      </c>
      <c r="K466">
        <v>60.009</v>
      </c>
      <c r="L466" s="5" t="s">
        <v>19</v>
      </c>
    </row>
    <row r="467" spans="1:12" hidden="1" x14ac:dyDescent="0.3">
      <c r="A467" s="5" t="s">
        <v>25</v>
      </c>
      <c r="B467" s="6">
        <v>0.81878666666666666</v>
      </c>
      <c r="C467">
        <v>4.87</v>
      </c>
      <c r="D467">
        <v>0.01</v>
      </c>
      <c r="E467">
        <v>7.5</v>
      </c>
      <c r="F467">
        <v>0</v>
      </c>
      <c r="G467">
        <v>0.04</v>
      </c>
      <c r="H467">
        <v>0.14000000000000001</v>
      </c>
      <c r="I467">
        <v>0.1</v>
      </c>
      <c r="J467">
        <v>0.18</v>
      </c>
      <c r="K467">
        <v>60.009</v>
      </c>
      <c r="L467" s="5" t="s">
        <v>19</v>
      </c>
    </row>
    <row r="468" spans="1:12" hidden="1" x14ac:dyDescent="0.3">
      <c r="A468" s="5" t="s">
        <v>25</v>
      </c>
      <c r="B468" s="6">
        <v>0.8187982407407407</v>
      </c>
      <c r="C468">
        <v>5.08</v>
      </c>
      <c r="D468">
        <v>0.01</v>
      </c>
      <c r="E468">
        <v>7.7</v>
      </c>
      <c r="F468">
        <v>0</v>
      </c>
      <c r="G468">
        <v>0.04</v>
      </c>
      <c r="H468">
        <v>0.14000000000000001</v>
      </c>
      <c r="I468">
        <v>0.1</v>
      </c>
      <c r="J468">
        <v>0.18</v>
      </c>
      <c r="K468">
        <v>60.011000000000003</v>
      </c>
      <c r="L468" s="5" t="s">
        <v>19</v>
      </c>
    </row>
    <row r="469" spans="1:12" hidden="1" x14ac:dyDescent="0.3">
      <c r="A469" s="5" t="s">
        <v>25</v>
      </c>
      <c r="B469" s="6">
        <v>0.81880981481481485</v>
      </c>
      <c r="C469">
        <v>4.76</v>
      </c>
      <c r="D469">
        <v>0.01</v>
      </c>
      <c r="E469">
        <v>7.5</v>
      </c>
      <c r="F469">
        <v>0</v>
      </c>
      <c r="G469">
        <v>0.04</v>
      </c>
      <c r="H469">
        <v>0.14000000000000001</v>
      </c>
      <c r="I469">
        <v>0.1</v>
      </c>
      <c r="J469">
        <v>0.18</v>
      </c>
      <c r="K469">
        <v>60.012</v>
      </c>
      <c r="L469" s="5" t="s">
        <v>19</v>
      </c>
    </row>
    <row r="470" spans="1:12" hidden="1" x14ac:dyDescent="0.3">
      <c r="A470" s="5" t="s">
        <v>25</v>
      </c>
      <c r="B470" s="6">
        <v>0.81882138888888889</v>
      </c>
      <c r="C470">
        <v>5.16</v>
      </c>
      <c r="D470">
        <v>0.01</v>
      </c>
      <c r="E470">
        <v>7.9</v>
      </c>
      <c r="F470">
        <v>0</v>
      </c>
      <c r="G470">
        <v>0.04</v>
      </c>
      <c r="H470">
        <v>0.14000000000000001</v>
      </c>
      <c r="I470">
        <v>0.1</v>
      </c>
      <c r="J470">
        <v>0.18</v>
      </c>
      <c r="K470">
        <v>60.009</v>
      </c>
      <c r="L470" s="5" t="s">
        <v>19</v>
      </c>
    </row>
    <row r="471" spans="1:12" hidden="1" x14ac:dyDescent="0.3">
      <c r="A471" s="5" t="s">
        <v>25</v>
      </c>
      <c r="B471" s="6">
        <v>0.81883296296296293</v>
      </c>
      <c r="C471">
        <v>4.75</v>
      </c>
      <c r="D471">
        <v>0.01</v>
      </c>
      <c r="E471">
        <v>7.3</v>
      </c>
      <c r="F471">
        <v>0</v>
      </c>
      <c r="G471">
        <v>0.04</v>
      </c>
      <c r="H471">
        <v>0.14000000000000001</v>
      </c>
      <c r="I471">
        <v>0.1</v>
      </c>
      <c r="J471">
        <v>0.18</v>
      </c>
      <c r="K471">
        <v>60.012999999999998</v>
      </c>
      <c r="L471" s="5" t="s">
        <v>19</v>
      </c>
    </row>
    <row r="472" spans="1:12" hidden="1" x14ac:dyDescent="0.3">
      <c r="A472" s="5" t="s">
        <v>25</v>
      </c>
      <c r="B472" s="6">
        <v>0.81884453703703708</v>
      </c>
      <c r="C472">
        <v>4.96</v>
      </c>
      <c r="D472">
        <v>0.01</v>
      </c>
      <c r="E472">
        <v>7.7</v>
      </c>
      <c r="F472">
        <v>0</v>
      </c>
      <c r="G472">
        <v>0.04</v>
      </c>
      <c r="H472">
        <v>0.14000000000000001</v>
      </c>
      <c r="I472">
        <v>0.1</v>
      </c>
      <c r="J472">
        <v>0.18</v>
      </c>
      <c r="K472">
        <v>60.009</v>
      </c>
      <c r="L472" s="5" t="s">
        <v>19</v>
      </c>
    </row>
    <row r="473" spans="1:12" hidden="1" x14ac:dyDescent="0.3">
      <c r="A473" s="5" t="s">
        <v>25</v>
      </c>
      <c r="B473" s="6">
        <v>0.81885611111111112</v>
      </c>
      <c r="C473">
        <v>4.91</v>
      </c>
      <c r="D473">
        <v>0.01</v>
      </c>
      <c r="E473">
        <v>7.5</v>
      </c>
      <c r="F473">
        <v>0</v>
      </c>
      <c r="G473">
        <v>0.04</v>
      </c>
      <c r="H473">
        <v>0.14000000000000001</v>
      </c>
      <c r="I473">
        <v>0.1</v>
      </c>
      <c r="J473">
        <v>0.18</v>
      </c>
      <c r="K473">
        <v>60.012999999999998</v>
      </c>
      <c r="L473" s="5" t="s">
        <v>19</v>
      </c>
    </row>
    <row r="474" spans="1:12" hidden="1" x14ac:dyDescent="0.3">
      <c r="A474" s="5" t="s">
        <v>25</v>
      </c>
      <c r="B474" s="6">
        <v>0.81886768518518516</v>
      </c>
      <c r="C474">
        <v>4.8099999999999996</v>
      </c>
      <c r="D474">
        <v>0.01</v>
      </c>
      <c r="E474">
        <v>7.5</v>
      </c>
      <c r="F474">
        <v>0</v>
      </c>
      <c r="G474">
        <v>0.04</v>
      </c>
      <c r="H474">
        <v>0.14000000000000001</v>
      </c>
      <c r="I474">
        <v>0.1</v>
      </c>
      <c r="J474">
        <v>0.18</v>
      </c>
      <c r="K474">
        <v>60.01</v>
      </c>
      <c r="L474" s="5" t="s">
        <v>19</v>
      </c>
    </row>
    <row r="475" spans="1:12" hidden="1" x14ac:dyDescent="0.3">
      <c r="A475" s="5" t="s">
        <v>25</v>
      </c>
      <c r="B475" s="6">
        <v>0.81887925925925931</v>
      </c>
      <c r="C475">
        <v>5.09</v>
      </c>
      <c r="D475">
        <v>0.01</v>
      </c>
      <c r="E475">
        <v>7.7</v>
      </c>
      <c r="F475">
        <v>0</v>
      </c>
      <c r="G475">
        <v>0.04</v>
      </c>
      <c r="H475">
        <v>0.14000000000000001</v>
      </c>
      <c r="I475">
        <v>0.1</v>
      </c>
      <c r="J475">
        <v>0.18</v>
      </c>
      <c r="K475">
        <v>60.01</v>
      </c>
      <c r="L475" s="5" t="s">
        <v>19</v>
      </c>
    </row>
    <row r="476" spans="1:12" hidden="1" x14ac:dyDescent="0.3">
      <c r="A476" s="5" t="s">
        <v>25</v>
      </c>
      <c r="B476" s="6">
        <v>0.81889083333333335</v>
      </c>
      <c r="C476">
        <v>4.71</v>
      </c>
      <c r="D476">
        <v>0.01</v>
      </c>
      <c r="E476">
        <v>7.3</v>
      </c>
      <c r="F476">
        <v>0</v>
      </c>
      <c r="G476">
        <v>0.04</v>
      </c>
      <c r="H476">
        <v>0.14000000000000001</v>
      </c>
      <c r="I476">
        <v>0.1</v>
      </c>
      <c r="J476">
        <v>0.18</v>
      </c>
      <c r="K476">
        <v>60.011000000000003</v>
      </c>
      <c r="L476" s="5" t="s">
        <v>19</v>
      </c>
    </row>
    <row r="477" spans="1:12" hidden="1" x14ac:dyDescent="0.3">
      <c r="A477" s="5" t="s">
        <v>25</v>
      </c>
      <c r="B477" s="6">
        <v>0.81890240740740738</v>
      </c>
      <c r="C477">
        <v>5.0599999999999996</v>
      </c>
      <c r="D477">
        <v>0.01</v>
      </c>
      <c r="E477">
        <v>7.8</v>
      </c>
      <c r="F477">
        <v>0</v>
      </c>
      <c r="G477">
        <v>0.04</v>
      </c>
      <c r="H477">
        <v>0.14000000000000001</v>
      </c>
      <c r="I477">
        <v>0.1</v>
      </c>
      <c r="J477">
        <v>0.18</v>
      </c>
      <c r="K477">
        <v>60.009</v>
      </c>
      <c r="L477" s="5" t="s">
        <v>19</v>
      </c>
    </row>
    <row r="478" spans="1:12" hidden="1" x14ac:dyDescent="0.3">
      <c r="A478" s="5" t="s">
        <v>25</v>
      </c>
      <c r="B478" s="6">
        <v>0.81891398148148153</v>
      </c>
      <c r="C478">
        <v>4.7699999999999996</v>
      </c>
      <c r="D478">
        <v>0.01</v>
      </c>
      <c r="E478">
        <v>7.4</v>
      </c>
      <c r="F478">
        <v>0</v>
      </c>
      <c r="G478">
        <v>0.04</v>
      </c>
      <c r="H478">
        <v>0.14000000000000001</v>
      </c>
      <c r="I478">
        <v>0.1</v>
      </c>
      <c r="J478">
        <v>0.18</v>
      </c>
      <c r="K478">
        <v>60.012999999999998</v>
      </c>
      <c r="L478" s="5" t="s">
        <v>19</v>
      </c>
    </row>
    <row r="479" spans="1:12" hidden="1" x14ac:dyDescent="0.3">
      <c r="A479" s="5" t="s">
        <v>25</v>
      </c>
      <c r="B479" s="6">
        <v>0.81892555555555557</v>
      </c>
      <c r="C479">
        <v>4.96</v>
      </c>
      <c r="D479">
        <v>0.01</v>
      </c>
      <c r="E479">
        <v>7.6</v>
      </c>
      <c r="F479">
        <v>0</v>
      </c>
      <c r="G479">
        <v>0.04</v>
      </c>
      <c r="H479">
        <v>0.14000000000000001</v>
      </c>
      <c r="I479">
        <v>0.1</v>
      </c>
      <c r="J479">
        <v>0.18</v>
      </c>
      <c r="K479">
        <v>60.01</v>
      </c>
      <c r="L479" s="5" t="s">
        <v>19</v>
      </c>
    </row>
    <row r="480" spans="1:12" hidden="1" x14ac:dyDescent="0.3">
      <c r="A480" s="5" t="s">
        <v>25</v>
      </c>
      <c r="B480" s="6">
        <v>0.81893712962962961</v>
      </c>
      <c r="C480">
        <v>5.01</v>
      </c>
      <c r="D480">
        <v>0.01</v>
      </c>
      <c r="E480">
        <v>7.7</v>
      </c>
      <c r="F480">
        <v>0</v>
      </c>
      <c r="G480">
        <v>0.04</v>
      </c>
      <c r="H480">
        <v>0.14000000000000001</v>
      </c>
      <c r="I480">
        <v>0.1</v>
      </c>
      <c r="J480">
        <v>0.18</v>
      </c>
      <c r="K480">
        <v>60.012999999999998</v>
      </c>
      <c r="L480" s="5" t="s">
        <v>19</v>
      </c>
    </row>
    <row r="481" spans="1:12" hidden="1" x14ac:dyDescent="0.3">
      <c r="A481" s="5" t="s">
        <v>25</v>
      </c>
      <c r="B481" s="6">
        <v>0.81894870370370365</v>
      </c>
      <c r="C481">
        <v>4.8099999999999996</v>
      </c>
      <c r="D481">
        <v>0.01</v>
      </c>
      <c r="E481">
        <v>7.5</v>
      </c>
      <c r="F481">
        <v>0</v>
      </c>
      <c r="G481">
        <v>0.04</v>
      </c>
      <c r="H481">
        <v>0.14000000000000001</v>
      </c>
      <c r="I481">
        <v>0.1</v>
      </c>
      <c r="J481">
        <v>0.18</v>
      </c>
      <c r="K481">
        <v>60.011000000000003</v>
      </c>
      <c r="L481" s="5" t="s">
        <v>19</v>
      </c>
    </row>
    <row r="482" spans="1:12" hidden="1" x14ac:dyDescent="0.3">
      <c r="A482" s="5" t="s">
        <v>25</v>
      </c>
      <c r="B482" s="6">
        <v>0.8189602777777778</v>
      </c>
      <c r="C482">
        <v>5.12</v>
      </c>
      <c r="D482">
        <v>0.01</v>
      </c>
      <c r="E482">
        <v>7.8</v>
      </c>
      <c r="F482">
        <v>0</v>
      </c>
      <c r="G482">
        <v>0.04</v>
      </c>
      <c r="H482">
        <v>0.14000000000000001</v>
      </c>
      <c r="I482">
        <v>0.1</v>
      </c>
      <c r="J482">
        <v>0.18</v>
      </c>
      <c r="K482">
        <v>60.011000000000003</v>
      </c>
      <c r="L482" s="5" t="s">
        <v>19</v>
      </c>
    </row>
    <row r="483" spans="1:12" hidden="1" x14ac:dyDescent="0.3">
      <c r="A483" s="5" t="s">
        <v>25</v>
      </c>
      <c r="B483" s="6">
        <v>0.81897185185185184</v>
      </c>
      <c r="C483">
        <v>4.7699999999999996</v>
      </c>
      <c r="D483">
        <v>0.01</v>
      </c>
      <c r="E483">
        <v>7.5</v>
      </c>
      <c r="F483">
        <v>0</v>
      </c>
      <c r="G483">
        <v>0.04</v>
      </c>
      <c r="H483">
        <v>0.14000000000000001</v>
      </c>
      <c r="I483">
        <v>0.1</v>
      </c>
      <c r="J483">
        <v>0.18</v>
      </c>
      <c r="K483">
        <v>60.012999999999998</v>
      </c>
      <c r="L483" s="5" t="s">
        <v>19</v>
      </c>
    </row>
    <row r="484" spans="1:12" hidden="1" x14ac:dyDescent="0.3">
      <c r="A484" s="5" t="s">
        <v>25</v>
      </c>
      <c r="B484" s="6">
        <v>0.81898342592592588</v>
      </c>
      <c r="C484">
        <v>4.99</v>
      </c>
      <c r="D484">
        <v>0.01</v>
      </c>
      <c r="E484">
        <v>7.6</v>
      </c>
      <c r="F484">
        <v>0</v>
      </c>
      <c r="G484">
        <v>0.04</v>
      </c>
      <c r="H484">
        <v>0.14000000000000001</v>
      </c>
      <c r="I484">
        <v>0.1</v>
      </c>
      <c r="J484">
        <v>0.18</v>
      </c>
      <c r="K484">
        <v>60.011000000000003</v>
      </c>
      <c r="L484" s="5" t="s">
        <v>19</v>
      </c>
    </row>
    <row r="485" spans="1:12" hidden="1" x14ac:dyDescent="0.3">
      <c r="A485" s="5" t="s">
        <v>25</v>
      </c>
      <c r="B485" s="6">
        <v>0.81899500000000003</v>
      </c>
      <c r="C485">
        <v>4.82</v>
      </c>
      <c r="D485">
        <v>0.01</v>
      </c>
      <c r="E485">
        <v>7.4</v>
      </c>
      <c r="F485">
        <v>0</v>
      </c>
      <c r="G485">
        <v>0.04</v>
      </c>
      <c r="H485">
        <v>0.14000000000000001</v>
      </c>
      <c r="I485">
        <v>0.1</v>
      </c>
      <c r="J485">
        <v>0.18</v>
      </c>
      <c r="K485">
        <v>60.015000000000001</v>
      </c>
      <c r="L485" s="5" t="s">
        <v>19</v>
      </c>
    </row>
    <row r="486" spans="1:12" hidden="1" x14ac:dyDescent="0.3">
      <c r="A486" s="5" t="s">
        <v>25</v>
      </c>
      <c r="B486" s="6">
        <v>0.81900657407407407</v>
      </c>
      <c r="C486">
        <v>4.88</v>
      </c>
      <c r="D486">
        <v>0.01</v>
      </c>
      <c r="E486">
        <v>7.6</v>
      </c>
      <c r="F486">
        <v>0</v>
      </c>
      <c r="G486">
        <v>0.04</v>
      </c>
      <c r="H486">
        <v>0.14000000000000001</v>
      </c>
      <c r="I486">
        <v>0.1</v>
      </c>
      <c r="J486">
        <v>0.18</v>
      </c>
      <c r="K486">
        <v>60.012</v>
      </c>
      <c r="L486" s="5" t="s">
        <v>19</v>
      </c>
    </row>
    <row r="487" spans="1:12" hidden="1" x14ac:dyDescent="0.3">
      <c r="A487" s="5" t="s">
        <v>25</v>
      </c>
      <c r="B487" s="6">
        <v>0.81901814814814811</v>
      </c>
      <c r="C487">
        <v>5.01</v>
      </c>
      <c r="D487">
        <v>0.01</v>
      </c>
      <c r="E487">
        <v>7.7</v>
      </c>
      <c r="F487">
        <v>0</v>
      </c>
      <c r="G487">
        <v>0.04</v>
      </c>
      <c r="H487">
        <v>0.14000000000000001</v>
      </c>
      <c r="I487">
        <v>0.1</v>
      </c>
      <c r="J487">
        <v>0.18</v>
      </c>
      <c r="K487">
        <v>60.012999999999998</v>
      </c>
      <c r="L487" s="5" t="s">
        <v>19</v>
      </c>
    </row>
    <row r="488" spans="1:12" hidden="1" x14ac:dyDescent="0.3">
      <c r="A488" s="5" t="s">
        <v>25</v>
      </c>
      <c r="B488" s="6">
        <v>0.81902972222222226</v>
      </c>
      <c r="C488">
        <v>4.8099999999999996</v>
      </c>
      <c r="D488">
        <v>0.01</v>
      </c>
      <c r="E488">
        <v>7.5</v>
      </c>
      <c r="F488">
        <v>0</v>
      </c>
      <c r="G488">
        <v>0.04</v>
      </c>
      <c r="H488">
        <v>0.14000000000000001</v>
      </c>
      <c r="I488">
        <v>0.1</v>
      </c>
      <c r="J488">
        <v>0.18</v>
      </c>
      <c r="K488">
        <v>60.012</v>
      </c>
      <c r="L488" s="5" t="s">
        <v>19</v>
      </c>
    </row>
    <row r="489" spans="1:12" hidden="1" x14ac:dyDescent="0.3">
      <c r="A489" s="5" t="s">
        <v>25</v>
      </c>
      <c r="B489" s="6">
        <v>0.8190412962962963</v>
      </c>
      <c r="C489">
        <v>5.12</v>
      </c>
      <c r="D489">
        <v>0.01</v>
      </c>
      <c r="E489">
        <v>7.8</v>
      </c>
      <c r="F489">
        <v>0</v>
      </c>
      <c r="G489">
        <v>0.04</v>
      </c>
      <c r="H489">
        <v>0.14000000000000001</v>
      </c>
      <c r="I489">
        <v>0.1</v>
      </c>
      <c r="J489">
        <v>0.18</v>
      </c>
      <c r="K489">
        <v>60.011000000000003</v>
      </c>
      <c r="L489" s="5" t="s">
        <v>19</v>
      </c>
    </row>
    <row r="490" spans="1:12" hidden="1" x14ac:dyDescent="0.3">
      <c r="A490" s="5" t="s">
        <v>25</v>
      </c>
      <c r="B490" s="6">
        <v>0.81905287037037033</v>
      </c>
      <c r="C490">
        <v>4.7</v>
      </c>
      <c r="D490">
        <v>0.01</v>
      </c>
      <c r="E490">
        <v>7.3</v>
      </c>
      <c r="F490">
        <v>0</v>
      </c>
      <c r="G490">
        <v>0.04</v>
      </c>
      <c r="H490">
        <v>0.14000000000000001</v>
      </c>
      <c r="I490">
        <v>0.1</v>
      </c>
      <c r="J490">
        <v>0.18</v>
      </c>
      <c r="K490">
        <v>60.015000000000001</v>
      </c>
      <c r="L490" s="5" t="s">
        <v>19</v>
      </c>
    </row>
    <row r="491" spans="1:12" hidden="1" x14ac:dyDescent="0.3">
      <c r="A491" s="5" t="s">
        <v>25</v>
      </c>
      <c r="B491" s="6">
        <v>0.81906444444444448</v>
      </c>
      <c r="C491">
        <v>4.9800000000000004</v>
      </c>
      <c r="D491">
        <v>0.01</v>
      </c>
      <c r="E491">
        <v>7.7</v>
      </c>
      <c r="F491">
        <v>0</v>
      </c>
      <c r="G491">
        <v>0.04</v>
      </c>
      <c r="H491">
        <v>0.14000000000000001</v>
      </c>
      <c r="I491">
        <v>0.1</v>
      </c>
      <c r="J491">
        <v>0.18</v>
      </c>
      <c r="K491">
        <v>60.011000000000003</v>
      </c>
      <c r="L491" s="5" t="s">
        <v>19</v>
      </c>
    </row>
    <row r="492" spans="1:12" hidden="1" x14ac:dyDescent="0.3">
      <c r="A492" s="5" t="s">
        <v>25</v>
      </c>
      <c r="B492" s="6">
        <v>0.81907601851851852</v>
      </c>
      <c r="C492">
        <v>4.88</v>
      </c>
      <c r="D492">
        <v>0.01</v>
      </c>
      <c r="E492">
        <v>7.5</v>
      </c>
      <c r="F492">
        <v>0</v>
      </c>
      <c r="G492">
        <v>0.04</v>
      </c>
      <c r="H492">
        <v>0.14000000000000001</v>
      </c>
      <c r="I492">
        <v>0.1</v>
      </c>
      <c r="J492">
        <v>0.18</v>
      </c>
      <c r="K492">
        <v>60.015000000000001</v>
      </c>
      <c r="L492" s="5" t="s">
        <v>19</v>
      </c>
    </row>
    <row r="493" spans="1:12" hidden="1" x14ac:dyDescent="0.3">
      <c r="A493" s="5" t="s">
        <v>25</v>
      </c>
      <c r="B493" s="6">
        <v>0.81908759259259256</v>
      </c>
      <c r="C493">
        <v>4.84</v>
      </c>
      <c r="D493">
        <v>0.01</v>
      </c>
      <c r="E493">
        <v>7.5</v>
      </c>
      <c r="F493">
        <v>0</v>
      </c>
      <c r="G493">
        <v>0.04</v>
      </c>
      <c r="H493">
        <v>0.15</v>
      </c>
      <c r="I493">
        <v>0.1</v>
      </c>
      <c r="J493">
        <v>0.18</v>
      </c>
      <c r="K493">
        <v>60.015000000000001</v>
      </c>
      <c r="L493" s="5" t="s">
        <v>19</v>
      </c>
    </row>
    <row r="494" spans="1:12" hidden="1" x14ac:dyDescent="0.3">
      <c r="A494" s="5" t="s">
        <v>25</v>
      </c>
      <c r="B494" s="6">
        <v>0.81909916666666671</v>
      </c>
      <c r="C494">
        <v>5.14</v>
      </c>
      <c r="D494">
        <v>0.01</v>
      </c>
      <c r="E494">
        <v>7.8</v>
      </c>
      <c r="F494">
        <v>0</v>
      </c>
      <c r="G494">
        <v>0.04</v>
      </c>
      <c r="H494">
        <v>0.15</v>
      </c>
      <c r="I494">
        <v>0.1</v>
      </c>
      <c r="J494">
        <v>0.18</v>
      </c>
      <c r="K494">
        <v>60.015999999999998</v>
      </c>
      <c r="L494" s="5" t="s">
        <v>19</v>
      </c>
    </row>
    <row r="495" spans="1:12" hidden="1" x14ac:dyDescent="0.3">
      <c r="A495" s="5" t="s">
        <v>25</v>
      </c>
      <c r="B495" s="6">
        <v>0.81911074074074075</v>
      </c>
      <c r="C495">
        <v>4.84</v>
      </c>
      <c r="D495">
        <v>0.01</v>
      </c>
      <c r="E495">
        <v>7.6</v>
      </c>
      <c r="F495">
        <v>0</v>
      </c>
      <c r="G495">
        <v>0.04</v>
      </c>
      <c r="H495">
        <v>0.14000000000000001</v>
      </c>
      <c r="I495">
        <v>0.1</v>
      </c>
      <c r="J495">
        <v>0.18</v>
      </c>
      <c r="K495">
        <v>60.015000000000001</v>
      </c>
      <c r="L495" s="5" t="s">
        <v>19</v>
      </c>
    </row>
    <row r="496" spans="1:12" hidden="1" x14ac:dyDescent="0.3">
      <c r="A496" s="5" t="s">
        <v>25</v>
      </c>
      <c r="B496" s="6">
        <v>0.81912231481481479</v>
      </c>
      <c r="C496">
        <v>5.19</v>
      </c>
      <c r="D496">
        <v>0.01</v>
      </c>
      <c r="E496">
        <v>8</v>
      </c>
      <c r="F496">
        <v>0</v>
      </c>
      <c r="G496">
        <v>0.04</v>
      </c>
      <c r="H496">
        <v>0.14000000000000001</v>
      </c>
      <c r="I496">
        <v>0.1</v>
      </c>
      <c r="J496">
        <v>0.18</v>
      </c>
      <c r="K496">
        <v>60.012999999999998</v>
      </c>
      <c r="L496" s="5" t="s">
        <v>19</v>
      </c>
    </row>
    <row r="497" spans="1:12" hidden="1" x14ac:dyDescent="0.3">
      <c r="A497" s="5" t="s">
        <v>25</v>
      </c>
      <c r="B497" s="6">
        <v>0.81913388888888894</v>
      </c>
      <c r="C497">
        <v>4.8600000000000003</v>
      </c>
      <c r="D497">
        <v>0.01</v>
      </c>
      <c r="E497">
        <v>7.6</v>
      </c>
      <c r="F497">
        <v>0</v>
      </c>
      <c r="G497">
        <v>0.04</v>
      </c>
      <c r="H497">
        <v>0.14000000000000001</v>
      </c>
      <c r="I497">
        <v>0.1</v>
      </c>
      <c r="J497">
        <v>0.18</v>
      </c>
      <c r="K497">
        <v>60.015999999999998</v>
      </c>
      <c r="L497" s="5" t="s">
        <v>19</v>
      </c>
    </row>
    <row r="498" spans="1:12" hidden="1" x14ac:dyDescent="0.3">
      <c r="A498" s="5" t="s">
        <v>25</v>
      </c>
      <c r="B498" s="6">
        <v>0.81914546296296298</v>
      </c>
      <c r="C498">
        <v>4.99</v>
      </c>
      <c r="D498">
        <v>0.01</v>
      </c>
      <c r="E498">
        <v>7.9</v>
      </c>
      <c r="F498">
        <v>0</v>
      </c>
      <c r="G498">
        <v>0.04</v>
      </c>
      <c r="H498">
        <v>0.15</v>
      </c>
      <c r="I498">
        <v>0.1</v>
      </c>
      <c r="J498">
        <v>0.18</v>
      </c>
      <c r="K498">
        <v>60.015000000000001</v>
      </c>
      <c r="L498" s="5" t="s">
        <v>19</v>
      </c>
    </row>
    <row r="499" spans="1:12" hidden="1" x14ac:dyDescent="0.3">
      <c r="A499" s="5" t="s">
        <v>25</v>
      </c>
      <c r="B499" s="6">
        <v>0.81915703703703702</v>
      </c>
      <c r="C499">
        <v>5.1100000000000003</v>
      </c>
      <c r="D499">
        <v>0.01</v>
      </c>
      <c r="E499">
        <v>8</v>
      </c>
      <c r="F499">
        <v>0</v>
      </c>
      <c r="G499">
        <v>0.04</v>
      </c>
      <c r="H499">
        <v>0.14000000000000001</v>
      </c>
      <c r="I499">
        <v>0.1</v>
      </c>
      <c r="J499">
        <v>0.18</v>
      </c>
      <c r="K499">
        <v>60.017000000000003</v>
      </c>
      <c r="L499" s="5" t="s">
        <v>19</v>
      </c>
    </row>
    <row r="500" spans="1:12" hidden="1" x14ac:dyDescent="0.3">
      <c r="A500" s="5" t="s">
        <v>25</v>
      </c>
      <c r="B500" s="6">
        <v>0.81916861111111106</v>
      </c>
      <c r="C500">
        <v>4.8099999999999996</v>
      </c>
      <c r="D500">
        <v>0.01</v>
      </c>
      <c r="E500">
        <v>7.6</v>
      </c>
      <c r="F500">
        <v>0</v>
      </c>
      <c r="G500">
        <v>0.04</v>
      </c>
      <c r="H500">
        <v>0.14000000000000001</v>
      </c>
      <c r="I500">
        <v>0.1</v>
      </c>
      <c r="J500">
        <v>0.18</v>
      </c>
      <c r="K500">
        <v>60.014000000000003</v>
      </c>
      <c r="L500" s="5" t="s">
        <v>19</v>
      </c>
    </row>
    <row r="501" spans="1:12" hidden="1" x14ac:dyDescent="0.3">
      <c r="A501" s="5" t="s">
        <v>25</v>
      </c>
      <c r="B501" s="6">
        <v>0.81918018518518521</v>
      </c>
      <c r="C501">
        <v>5.25</v>
      </c>
      <c r="D501">
        <v>0.01</v>
      </c>
      <c r="E501">
        <v>8.1</v>
      </c>
      <c r="F501">
        <v>0</v>
      </c>
      <c r="G501">
        <v>0.04</v>
      </c>
      <c r="H501">
        <v>0.14000000000000001</v>
      </c>
      <c r="I501">
        <v>0.1</v>
      </c>
      <c r="J501">
        <v>0.18</v>
      </c>
      <c r="K501">
        <v>60.015999999999998</v>
      </c>
      <c r="L501" s="5" t="s">
        <v>19</v>
      </c>
    </row>
    <row r="502" spans="1:12" hidden="1" x14ac:dyDescent="0.3">
      <c r="A502" s="5" t="s">
        <v>25</v>
      </c>
      <c r="B502" s="6">
        <v>0.81919175925925924</v>
      </c>
      <c r="C502">
        <v>4.83</v>
      </c>
      <c r="D502">
        <v>0.01</v>
      </c>
      <c r="E502">
        <v>7.7</v>
      </c>
      <c r="F502">
        <v>0</v>
      </c>
      <c r="G502">
        <v>0.04</v>
      </c>
      <c r="H502">
        <v>0.14000000000000001</v>
      </c>
      <c r="I502">
        <v>0.1</v>
      </c>
      <c r="J502">
        <v>0.18</v>
      </c>
      <c r="K502">
        <v>60.015000000000001</v>
      </c>
      <c r="L502" s="5" t="s">
        <v>19</v>
      </c>
    </row>
    <row r="503" spans="1:12" hidden="1" x14ac:dyDescent="0.3">
      <c r="A503" s="5" t="s">
        <v>25</v>
      </c>
      <c r="B503" s="6">
        <v>0.81920333333333328</v>
      </c>
      <c r="C503">
        <v>5.2</v>
      </c>
      <c r="D503">
        <v>0.01</v>
      </c>
      <c r="E503">
        <v>8.1</v>
      </c>
      <c r="F503">
        <v>0</v>
      </c>
      <c r="G503">
        <v>0.04</v>
      </c>
      <c r="H503">
        <v>0.14000000000000001</v>
      </c>
      <c r="I503">
        <v>0.1</v>
      </c>
      <c r="J503">
        <v>0.18</v>
      </c>
      <c r="K503">
        <v>60.012999999999998</v>
      </c>
      <c r="L503" s="5" t="s">
        <v>19</v>
      </c>
    </row>
    <row r="504" spans="1:12" hidden="1" x14ac:dyDescent="0.3">
      <c r="A504" s="5" t="s">
        <v>25</v>
      </c>
      <c r="B504" s="6">
        <v>0.81921490740740743</v>
      </c>
      <c r="C504">
        <v>4.9400000000000004</v>
      </c>
      <c r="D504">
        <v>0.01</v>
      </c>
      <c r="E504">
        <v>7.8</v>
      </c>
      <c r="F504">
        <v>0</v>
      </c>
      <c r="G504">
        <v>0.04</v>
      </c>
      <c r="H504">
        <v>0.14000000000000001</v>
      </c>
      <c r="I504">
        <v>0.1</v>
      </c>
      <c r="J504">
        <v>0.18</v>
      </c>
      <c r="K504">
        <v>60.014000000000003</v>
      </c>
      <c r="L504" s="5" t="s">
        <v>19</v>
      </c>
    </row>
    <row r="505" spans="1:12" hidden="1" x14ac:dyDescent="0.3">
      <c r="A505" s="5" t="s">
        <v>25</v>
      </c>
      <c r="B505" s="6">
        <v>0.81922648148148147</v>
      </c>
      <c r="C505">
        <v>4.9400000000000004</v>
      </c>
      <c r="D505">
        <v>0.01</v>
      </c>
      <c r="E505">
        <v>7.8</v>
      </c>
      <c r="F505">
        <v>0</v>
      </c>
      <c r="G505">
        <v>0.05</v>
      </c>
      <c r="H505">
        <v>0.14000000000000001</v>
      </c>
      <c r="I505">
        <v>0.1</v>
      </c>
      <c r="J505">
        <v>0.18</v>
      </c>
      <c r="K505">
        <v>60.012</v>
      </c>
      <c r="L505" s="5" t="s">
        <v>19</v>
      </c>
    </row>
    <row r="506" spans="1:12" hidden="1" x14ac:dyDescent="0.3">
      <c r="A506" s="5" t="s">
        <v>25</v>
      </c>
      <c r="B506" s="6">
        <v>0.81923805555555551</v>
      </c>
      <c r="C506">
        <v>5.15</v>
      </c>
      <c r="D506">
        <v>0.01</v>
      </c>
      <c r="E506">
        <v>8.1999999999999993</v>
      </c>
      <c r="F506">
        <v>0</v>
      </c>
      <c r="G506">
        <v>0.04</v>
      </c>
      <c r="H506">
        <v>0.14000000000000001</v>
      </c>
      <c r="I506">
        <v>0.1</v>
      </c>
      <c r="J506">
        <v>0.18</v>
      </c>
      <c r="K506">
        <v>60.015000000000001</v>
      </c>
      <c r="L506" s="5" t="s">
        <v>19</v>
      </c>
    </row>
    <row r="507" spans="1:12" hidden="1" x14ac:dyDescent="0.3">
      <c r="A507" s="5" t="s">
        <v>25</v>
      </c>
      <c r="B507" s="6">
        <v>0.81924962962962966</v>
      </c>
      <c r="C507">
        <v>4.83</v>
      </c>
      <c r="D507">
        <v>0.01</v>
      </c>
      <c r="E507">
        <v>7.7</v>
      </c>
      <c r="F507">
        <v>0</v>
      </c>
      <c r="G507">
        <v>0.04</v>
      </c>
      <c r="H507">
        <v>0.14000000000000001</v>
      </c>
      <c r="I507">
        <v>0.1</v>
      </c>
      <c r="J507">
        <v>0.18</v>
      </c>
      <c r="K507">
        <v>60.012999999999998</v>
      </c>
      <c r="L507" s="5" t="s">
        <v>19</v>
      </c>
    </row>
    <row r="508" spans="1:12" hidden="1" x14ac:dyDescent="0.3">
      <c r="A508" s="5" t="s">
        <v>25</v>
      </c>
      <c r="B508" s="6">
        <v>0.8192612037037037</v>
      </c>
      <c r="C508">
        <v>5.29</v>
      </c>
      <c r="D508">
        <v>0.01</v>
      </c>
      <c r="E508">
        <v>8.1999999999999993</v>
      </c>
      <c r="F508">
        <v>0</v>
      </c>
      <c r="G508">
        <v>0.04</v>
      </c>
      <c r="H508">
        <v>0.14000000000000001</v>
      </c>
      <c r="I508">
        <v>0.1</v>
      </c>
      <c r="J508">
        <v>0.18</v>
      </c>
      <c r="K508">
        <v>60.012</v>
      </c>
      <c r="L508" s="5" t="s">
        <v>19</v>
      </c>
    </row>
    <row r="509" spans="1:12" hidden="1" x14ac:dyDescent="0.3">
      <c r="A509" s="5" t="s">
        <v>25</v>
      </c>
      <c r="B509" s="6">
        <v>0.81927277777777774</v>
      </c>
      <c r="C509">
        <v>4.83</v>
      </c>
      <c r="D509">
        <v>0.01</v>
      </c>
      <c r="E509">
        <v>7.8</v>
      </c>
      <c r="F509">
        <v>0</v>
      </c>
      <c r="G509">
        <v>0.04</v>
      </c>
      <c r="H509">
        <v>0.15</v>
      </c>
      <c r="I509">
        <v>0.1</v>
      </c>
      <c r="J509">
        <v>0.18</v>
      </c>
      <c r="K509">
        <v>60.012</v>
      </c>
      <c r="L509" s="5" t="s">
        <v>19</v>
      </c>
    </row>
    <row r="510" spans="1:12" hidden="1" x14ac:dyDescent="0.3">
      <c r="A510" s="5" t="s">
        <v>25</v>
      </c>
      <c r="B510" s="6">
        <v>0.81928435185185189</v>
      </c>
      <c r="C510">
        <v>5.13</v>
      </c>
      <c r="D510">
        <v>0.01</v>
      </c>
      <c r="E510">
        <v>8</v>
      </c>
      <c r="F510">
        <v>0</v>
      </c>
      <c r="G510">
        <v>0.04</v>
      </c>
      <c r="H510">
        <v>0.14000000000000001</v>
      </c>
      <c r="I510">
        <v>0.1</v>
      </c>
      <c r="J510">
        <v>0.18</v>
      </c>
      <c r="K510">
        <v>60.012</v>
      </c>
      <c r="L510" s="5" t="s">
        <v>19</v>
      </c>
    </row>
    <row r="511" spans="1:12" hidden="1" x14ac:dyDescent="0.3">
      <c r="A511" s="5" t="s">
        <v>25</v>
      </c>
      <c r="B511" s="6">
        <v>0.81929592592592593</v>
      </c>
      <c r="C511">
        <v>4.99</v>
      </c>
      <c r="D511">
        <v>0.01</v>
      </c>
      <c r="E511">
        <v>7.8</v>
      </c>
      <c r="F511">
        <v>0</v>
      </c>
      <c r="G511">
        <v>0.04</v>
      </c>
      <c r="H511">
        <v>0.15</v>
      </c>
      <c r="I511">
        <v>0.1</v>
      </c>
      <c r="J511">
        <v>0.18</v>
      </c>
      <c r="K511">
        <v>60.012999999999998</v>
      </c>
      <c r="L511" s="5" t="s">
        <v>19</v>
      </c>
    </row>
    <row r="512" spans="1:12" hidden="1" x14ac:dyDescent="0.3">
      <c r="A512" s="5" t="s">
        <v>25</v>
      </c>
      <c r="B512" s="6">
        <v>0.81930749999999997</v>
      </c>
      <c r="C512">
        <v>4.9000000000000004</v>
      </c>
      <c r="D512">
        <v>0.01</v>
      </c>
      <c r="E512">
        <v>7.8</v>
      </c>
      <c r="F512">
        <v>0</v>
      </c>
      <c r="G512">
        <v>0.04</v>
      </c>
      <c r="H512">
        <v>0.14000000000000001</v>
      </c>
      <c r="I512">
        <v>0.1</v>
      </c>
      <c r="J512">
        <v>0.18</v>
      </c>
      <c r="K512">
        <v>60.012</v>
      </c>
      <c r="L512" s="5" t="s">
        <v>19</v>
      </c>
    </row>
    <row r="513" spans="1:12" hidden="1" x14ac:dyDescent="0.3">
      <c r="A513" s="5" t="s">
        <v>25</v>
      </c>
      <c r="B513" s="6">
        <v>0.81931907407407412</v>
      </c>
      <c r="C513">
        <v>5.21</v>
      </c>
      <c r="D513">
        <v>0.01</v>
      </c>
      <c r="E513">
        <v>8.1</v>
      </c>
      <c r="F513">
        <v>0</v>
      </c>
      <c r="G513">
        <v>0.04</v>
      </c>
      <c r="H513">
        <v>0.14000000000000001</v>
      </c>
      <c r="I513">
        <v>0.1</v>
      </c>
      <c r="J513">
        <v>0.18</v>
      </c>
      <c r="K513">
        <v>60.012</v>
      </c>
      <c r="L513" s="5" t="s">
        <v>19</v>
      </c>
    </row>
    <row r="514" spans="1:12" hidden="1" x14ac:dyDescent="0.3">
      <c r="A514" s="5" t="s">
        <v>25</v>
      </c>
      <c r="B514" s="6">
        <v>0.81933064814814816</v>
      </c>
      <c r="C514">
        <v>4.83</v>
      </c>
      <c r="D514">
        <v>0.01</v>
      </c>
      <c r="E514">
        <v>7.7</v>
      </c>
      <c r="F514">
        <v>0</v>
      </c>
      <c r="G514">
        <v>0.04</v>
      </c>
      <c r="H514">
        <v>0.14000000000000001</v>
      </c>
      <c r="I514">
        <v>0.1</v>
      </c>
      <c r="J514">
        <v>0.18</v>
      </c>
      <c r="K514">
        <v>60.012</v>
      </c>
      <c r="L514" s="5" t="s">
        <v>19</v>
      </c>
    </row>
    <row r="515" spans="1:12" hidden="1" x14ac:dyDescent="0.3">
      <c r="A515" s="5" t="s">
        <v>25</v>
      </c>
      <c r="B515" s="6">
        <v>0.81934222222222219</v>
      </c>
      <c r="C515">
        <v>5.29</v>
      </c>
      <c r="D515">
        <v>0.01</v>
      </c>
      <c r="E515">
        <v>8.1999999999999993</v>
      </c>
      <c r="F515">
        <v>0</v>
      </c>
      <c r="G515">
        <v>0.04</v>
      </c>
      <c r="H515">
        <v>0.14000000000000001</v>
      </c>
      <c r="I515">
        <v>0.1</v>
      </c>
      <c r="J515">
        <v>0.18</v>
      </c>
      <c r="K515">
        <v>60.012999999999998</v>
      </c>
      <c r="L515" s="5" t="s">
        <v>19</v>
      </c>
    </row>
    <row r="516" spans="1:12" hidden="1" x14ac:dyDescent="0.3">
      <c r="A516" s="5" t="s">
        <v>25</v>
      </c>
      <c r="B516" s="6">
        <v>0.81935379629629634</v>
      </c>
      <c r="C516">
        <v>4.87</v>
      </c>
      <c r="D516">
        <v>0.01</v>
      </c>
      <c r="E516">
        <v>7.7</v>
      </c>
      <c r="F516">
        <v>0</v>
      </c>
      <c r="G516">
        <v>0.04</v>
      </c>
      <c r="H516">
        <v>0.14000000000000001</v>
      </c>
      <c r="I516">
        <v>0.1</v>
      </c>
      <c r="J516">
        <v>0.18</v>
      </c>
      <c r="K516">
        <v>60.014000000000003</v>
      </c>
      <c r="L516" s="5" t="s">
        <v>19</v>
      </c>
    </row>
    <row r="517" spans="1:12" hidden="1" x14ac:dyDescent="0.3">
      <c r="A517" s="5" t="s">
        <v>25</v>
      </c>
      <c r="B517" s="6">
        <v>0.81936537037037038</v>
      </c>
      <c r="C517">
        <v>5.0999999999999996</v>
      </c>
      <c r="D517">
        <v>0.01</v>
      </c>
      <c r="E517">
        <v>8.1</v>
      </c>
      <c r="F517">
        <v>0</v>
      </c>
      <c r="G517">
        <v>0.05</v>
      </c>
      <c r="H517">
        <v>0.14000000000000001</v>
      </c>
      <c r="I517">
        <v>0.1</v>
      </c>
      <c r="J517">
        <v>0.18</v>
      </c>
      <c r="K517">
        <v>60.012999999999998</v>
      </c>
      <c r="L517" s="5" t="s">
        <v>19</v>
      </c>
    </row>
    <row r="518" spans="1:12" hidden="1" x14ac:dyDescent="0.3">
      <c r="A518" s="5" t="s">
        <v>25</v>
      </c>
      <c r="B518" s="6">
        <v>0.81937694444444442</v>
      </c>
      <c r="C518">
        <v>5.0199999999999996</v>
      </c>
      <c r="D518">
        <v>0.01</v>
      </c>
      <c r="E518">
        <v>7.9</v>
      </c>
      <c r="F518">
        <v>0</v>
      </c>
      <c r="G518">
        <v>0.04</v>
      </c>
      <c r="H518">
        <v>0.14000000000000001</v>
      </c>
      <c r="I518">
        <v>0.1</v>
      </c>
      <c r="J518">
        <v>0.18</v>
      </c>
      <c r="K518">
        <v>60.014000000000003</v>
      </c>
      <c r="L518" s="5" t="s">
        <v>19</v>
      </c>
    </row>
    <row r="519" spans="1:12" hidden="1" x14ac:dyDescent="0.3">
      <c r="A519" s="5" t="s">
        <v>25</v>
      </c>
      <c r="B519" s="6">
        <v>0.81938851851851857</v>
      </c>
      <c r="C519">
        <v>4.8600000000000003</v>
      </c>
      <c r="D519">
        <v>0.01</v>
      </c>
      <c r="E519">
        <v>7.7</v>
      </c>
      <c r="F519">
        <v>0</v>
      </c>
      <c r="G519">
        <v>0.05</v>
      </c>
      <c r="H519">
        <v>0.14000000000000001</v>
      </c>
      <c r="I519">
        <v>0.1</v>
      </c>
      <c r="J519">
        <v>0.18</v>
      </c>
      <c r="K519">
        <v>60.014000000000003</v>
      </c>
      <c r="L519" s="5" t="s">
        <v>19</v>
      </c>
    </row>
    <row r="520" spans="1:12" hidden="1" x14ac:dyDescent="0.3">
      <c r="A520" s="5" t="s">
        <v>25</v>
      </c>
      <c r="B520" s="6">
        <v>0.81940009259259261</v>
      </c>
      <c r="C520">
        <v>5.24</v>
      </c>
      <c r="D520">
        <v>0.01</v>
      </c>
      <c r="E520">
        <v>8.1</v>
      </c>
      <c r="F520">
        <v>0</v>
      </c>
      <c r="G520">
        <v>0.04</v>
      </c>
      <c r="H520">
        <v>0.14000000000000001</v>
      </c>
      <c r="I520">
        <v>0.1</v>
      </c>
      <c r="J520">
        <v>0.18</v>
      </c>
      <c r="K520">
        <v>60.015000000000001</v>
      </c>
      <c r="L520" s="5" t="s">
        <v>19</v>
      </c>
    </row>
    <row r="521" spans="1:12" hidden="1" x14ac:dyDescent="0.3">
      <c r="A521" s="5" t="s">
        <v>25</v>
      </c>
      <c r="B521" s="6">
        <v>0.81941166666666665</v>
      </c>
      <c r="C521">
        <v>4.8499999999999996</v>
      </c>
      <c r="D521">
        <v>0.01</v>
      </c>
      <c r="E521">
        <v>7.8</v>
      </c>
      <c r="F521">
        <v>0</v>
      </c>
      <c r="G521">
        <v>0.04</v>
      </c>
      <c r="H521">
        <v>0.14000000000000001</v>
      </c>
      <c r="I521">
        <v>0.1</v>
      </c>
      <c r="J521">
        <v>0.18</v>
      </c>
      <c r="K521">
        <v>60.015000000000001</v>
      </c>
      <c r="L521" s="5" t="s">
        <v>19</v>
      </c>
    </row>
    <row r="522" spans="1:12" hidden="1" x14ac:dyDescent="0.3">
      <c r="A522" s="5" t="s">
        <v>25</v>
      </c>
      <c r="B522" s="6">
        <v>0.81942324074074069</v>
      </c>
      <c r="C522">
        <v>5.24</v>
      </c>
      <c r="D522">
        <v>0.01</v>
      </c>
      <c r="E522">
        <v>8.1</v>
      </c>
      <c r="F522">
        <v>0</v>
      </c>
      <c r="G522">
        <v>0.04</v>
      </c>
      <c r="H522">
        <v>0.14000000000000001</v>
      </c>
      <c r="I522">
        <v>0.1</v>
      </c>
      <c r="J522">
        <v>0.18</v>
      </c>
      <c r="K522">
        <v>60.014000000000003</v>
      </c>
      <c r="L522" s="5" t="s">
        <v>19</v>
      </c>
    </row>
    <row r="523" spans="1:12" hidden="1" x14ac:dyDescent="0.3">
      <c r="A523" s="5" t="s">
        <v>25</v>
      </c>
      <c r="B523" s="6">
        <v>0.81943481481481484</v>
      </c>
      <c r="C523">
        <v>4.8899999999999997</v>
      </c>
      <c r="D523">
        <v>0.01</v>
      </c>
      <c r="E523">
        <v>7.7</v>
      </c>
      <c r="F523">
        <v>0</v>
      </c>
      <c r="G523">
        <v>0.04</v>
      </c>
      <c r="H523">
        <v>0.14000000000000001</v>
      </c>
      <c r="I523">
        <v>0.1</v>
      </c>
      <c r="J523">
        <v>0.18</v>
      </c>
      <c r="K523">
        <v>60.015999999999998</v>
      </c>
      <c r="L523" s="5" t="s">
        <v>19</v>
      </c>
    </row>
    <row r="524" spans="1:12" hidden="1" x14ac:dyDescent="0.3">
      <c r="A524" s="5" t="s">
        <v>25</v>
      </c>
      <c r="B524" s="6">
        <v>0.81944638888888888</v>
      </c>
      <c r="C524">
        <v>5.04</v>
      </c>
      <c r="D524">
        <v>0.01</v>
      </c>
      <c r="E524">
        <v>7.9</v>
      </c>
      <c r="F524">
        <v>0</v>
      </c>
      <c r="G524">
        <v>0.04</v>
      </c>
      <c r="H524">
        <v>0.14000000000000001</v>
      </c>
      <c r="I524">
        <v>0.1</v>
      </c>
      <c r="J524">
        <v>0.18</v>
      </c>
      <c r="K524">
        <v>60.014000000000003</v>
      </c>
      <c r="L524" s="5" t="s">
        <v>19</v>
      </c>
    </row>
    <row r="525" spans="1:12" hidden="1" x14ac:dyDescent="0.3">
      <c r="A525" s="5" t="s">
        <v>25</v>
      </c>
      <c r="B525" s="6">
        <v>0.81945796296296292</v>
      </c>
      <c r="C525">
        <v>5.1100000000000003</v>
      </c>
      <c r="D525">
        <v>0.01</v>
      </c>
      <c r="E525">
        <v>8</v>
      </c>
      <c r="F525">
        <v>0</v>
      </c>
      <c r="G525">
        <v>0.04</v>
      </c>
      <c r="H525">
        <v>0.14000000000000001</v>
      </c>
      <c r="I525">
        <v>0.1</v>
      </c>
      <c r="J525">
        <v>0.18</v>
      </c>
      <c r="K525">
        <v>60.015000000000001</v>
      </c>
      <c r="L525" s="5" t="s">
        <v>19</v>
      </c>
    </row>
    <row r="526" spans="1:12" hidden="1" x14ac:dyDescent="0.3">
      <c r="A526" s="5" t="s">
        <v>25</v>
      </c>
      <c r="B526" s="6">
        <v>0.81946953703703707</v>
      </c>
      <c r="C526">
        <v>4.8499999999999996</v>
      </c>
      <c r="D526">
        <v>0.01</v>
      </c>
      <c r="E526">
        <v>7.8</v>
      </c>
      <c r="F526">
        <v>0</v>
      </c>
      <c r="G526">
        <v>0.04</v>
      </c>
      <c r="H526">
        <v>0.14000000000000001</v>
      </c>
      <c r="I526">
        <v>0.1</v>
      </c>
      <c r="J526">
        <v>0.18</v>
      </c>
      <c r="K526">
        <v>60.012999999999998</v>
      </c>
      <c r="L526" s="5" t="s">
        <v>19</v>
      </c>
    </row>
    <row r="527" spans="1:12" hidden="1" x14ac:dyDescent="0.3">
      <c r="A527" s="5" t="s">
        <v>25</v>
      </c>
      <c r="B527" s="6">
        <v>0.8194811111111111</v>
      </c>
      <c r="C527">
        <v>5.26</v>
      </c>
      <c r="D527">
        <v>0.01</v>
      </c>
      <c r="E527">
        <v>8.1</v>
      </c>
      <c r="F527">
        <v>0</v>
      </c>
      <c r="G527">
        <v>0.04</v>
      </c>
      <c r="H527">
        <v>0.14000000000000001</v>
      </c>
      <c r="I527">
        <v>0.1</v>
      </c>
      <c r="J527">
        <v>0.18</v>
      </c>
      <c r="K527">
        <v>60.012999999999998</v>
      </c>
      <c r="L527" s="5" t="s">
        <v>19</v>
      </c>
    </row>
    <row r="528" spans="1:12" hidden="1" x14ac:dyDescent="0.3">
      <c r="A528" s="5" t="s">
        <v>25</v>
      </c>
      <c r="B528" s="6">
        <v>0.81949268518518514</v>
      </c>
      <c r="C528">
        <v>4.8499999999999996</v>
      </c>
      <c r="D528">
        <v>0.01</v>
      </c>
      <c r="E528">
        <v>7.7</v>
      </c>
      <c r="F528">
        <v>0</v>
      </c>
      <c r="G528">
        <v>0.04</v>
      </c>
      <c r="H528">
        <v>0.14000000000000001</v>
      </c>
      <c r="I528">
        <v>0.1</v>
      </c>
      <c r="J528">
        <v>0.18</v>
      </c>
      <c r="K528">
        <v>60.012</v>
      </c>
      <c r="L528" s="5" t="s">
        <v>19</v>
      </c>
    </row>
    <row r="529" spans="1:12" hidden="1" x14ac:dyDescent="0.3">
      <c r="A529" s="5" t="s">
        <v>25</v>
      </c>
      <c r="B529" s="6">
        <v>0.81950425925925929</v>
      </c>
      <c r="C529">
        <v>5.23</v>
      </c>
      <c r="D529">
        <v>0.01</v>
      </c>
      <c r="E529">
        <v>8.1</v>
      </c>
      <c r="F529">
        <v>0</v>
      </c>
      <c r="G529">
        <v>0.04</v>
      </c>
      <c r="H529">
        <v>0.14000000000000001</v>
      </c>
      <c r="I529">
        <v>0.1</v>
      </c>
      <c r="J529">
        <v>0.18</v>
      </c>
      <c r="K529">
        <v>60.012</v>
      </c>
      <c r="L529" s="5" t="s">
        <v>19</v>
      </c>
    </row>
    <row r="530" spans="1:12" hidden="1" x14ac:dyDescent="0.3">
      <c r="A530" s="5" t="s">
        <v>25</v>
      </c>
      <c r="B530" s="6">
        <v>0.81951583333333333</v>
      </c>
      <c r="C530">
        <v>4.93</v>
      </c>
      <c r="D530">
        <v>0.01</v>
      </c>
      <c r="E530">
        <v>7.9</v>
      </c>
      <c r="F530">
        <v>0</v>
      </c>
      <c r="G530">
        <v>0.04</v>
      </c>
      <c r="H530">
        <v>0.14000000000000001</v>
      </c>
      <c r="I530">
        <v>0.1</v>
      </c>
      <c r="J530">
        <v>0.18</v>
      </c>
      <c r="K530">
        <v>60.011000000000003</v>
      </c>
      <c r="L530" s="5" t="s">
        <v>19</v>
      </c>
    </row>
    <row r="531" spans="1:12" hidden="1" x14ac:dyDescent="0.3">
      <c r="A531" s="5" t="s">
        <v>25</v>
      </c>
      <c r="B531" s="6">
        <v>0.81952740740740737</v>
      </c>
      <c r="C531">
        <v>5</v>
      </c>
      <c r="D531">
        <v>0.01</v>
      </c>
      <c r="E531">
        <v>7.9</v>
      </c>
      <c r="F531">
        <v>0</v>
      </c>
      <c r="G531">
        <v>0.04</v>
      </c>
      <c r="H531">
        <v>0.14000000000000001</v>
      </c>
      <c r="I531">
        <v>0.1</v>
      </c>
      <c r="J531">
        <v>0.18</v>
      </c>
      <c r="K531">
        <v>60.009</v>
      </c>
      <c r="L531" s="5" t="s">
        <v>19</v>
      </c>
    </row>
    <row r="532" spans="1:12" hidden="1" x14ac:dyDescent="0.3">
      <c r="A532" s="5" t="s">
        <v>25</v>
      </c>
      <c r="B532" s="6">
        <v>0.81953898148148152</v>
      </c>
      <c r="C532">
        <v>5.12</v>
      </c>
      <c r="D532">
        <v>0.01</v>
      </c>
      <c r="E532">
        <v>8</v>
      </c>
      <c r="F532">
        <v>0</v>
      </c>
      <c r="G532">
        <v>0.04</v>
      </c>
      <c r="H532">
        <v>0.14000000000000001</v>
      </c>
      <c r="I532">
        <v>0.1</v>
      </c>
      <c r="J532">
        <v>0.18</v>
      </c>
      <c r="K532">
        <v>60.01</v>
      </c>
      <c r="L532" s="5" t="s">
        <v>19</v>
      </c>
    </row>
    <row r="533" spans="1:12" hidden="1" x14ac:dyDescent="0.3">
      <c r="A533" s="5" t="s">
        <v>25</v>
      </c>
      <c r="B533" s="6">
        <v>0.81955055555555556</v>
      </c>
      <c r="C533">
        <v>4.82</v>
      </c>
      <c r="D533">
        <v>0.01</v>
      </c>
      <c r="E533">
        <v>7.7</v>
      </c>
      <c r="F533">
        <v>0</v>
      </c>
      <c r="G533">
        <v>0.04</v>
      </c>
      <c r="H533">
        <v>0.14000000000000001</v>
      </c>
      <c r="I533">
        <v>0.1</v>
      </c>
      <c r="J533">
        <v>0.18</v>
      </c>
      <c r="K533">
        <v>60.008000000000003</v>
      </c>
      <c r="L533" s="5" t="s">
        <v>19</v>
      </c>
    </row>
    <row r="534" spans="1:12" hidden="1" x14ac:dyDescent="0.3">
      <c r="A534" s="5" t="s">
        <v>25</v>
      </c>
      <c r="B534" s="6">
        <v>0.8195621296296296</v>
      </c>
      <c r="C534">
        <v>5.27</v>
      </c>
      <c r="D534">
        <v>0.01</v>
      </c>
      <c r="E534">
        <v>8.1</v>
      </c>
      <c r="F534">
        <v>0</v>
      </c>
      <c r="G534">
        <v>0.04</v>
      </c>
      <c r="H534">
        <v>0.14000000000000001</v>
      </c>
      <c r="I534">
        <v>0.1</v>
      </c>
      <c r="J534">
        <v>0.18</v>
      </c>
      <c r="K534">
        <v>60.008000000000003</v>
      </c>
      <c r="L534" s="5" t="s">
        <v>19</v>
      </c>
    </row>
    <row r="535" spans="1:12" hidden="1" x14ac:dyDescent="0.3">
      <c r="A535" s="5" t="s">
        <v>25</v>
      </c>
      <c r="B535" s="6">
        <v>0.81957370370370375</v>
      </c>
      <c r="C535">
        <v>4.87</v>
      </c>
      <c r="D535">
        <v>0.01</v>
      </c>
      <c r="E535">
        <v>7.8</v>
      </c>
      <c r="F535">
        <v>0</v>
      </c>
      <c r="G535">
        <v>0.04</v>
      </c>
      <c r="H535">
        <v>0.14000000000000001</v>
      </c>
      <c r="I535">
        <v>0.1</v>
      </c>
      <c r="J535">
        <v>0.18</v>
      </c>
      <c r="K535">
        <v>60.008000000000003</v>
      </c>
      <c r="L535" s="5" t="s">
        <v>19</v>
      </c>
    </row>
    <row r="536" spans="1:12" hidden="1" x14ac:dyDescent="0.3">
      <c r="A536" s="5" t="s">
        <v>25</v>
      </c>
      <c r="B536" s="6">
        <v>0.81958527777777779</v>
      </c>
      <c r="C536">
        <v>5.17</v>
      </c>
      <c r="D536">
        <v>0.01</v>
      </c>
      <c r="E536">
        <v>8.1</v>
      </c>
      <c r="F536">
        <v>0</v>
      </c>
      <c r="G536">
        <v>0.04</v>
      </c>
      <c r="H536">
        <v>0.15</v>
      </c>
      <c r="I536">
        <v>0.1</v>
      </c>
      <c r="J536">
        <v>0.18</v>
      </c>
      <c r="K536">
        <v>60.006999999999998</v>
      </c>
      <c r="L536" s="5" t="s">
        <v>19</v>
      </c>
    </row>
    <row r="537" spans="1:12" hidden="1" x14ac:dyDescent="0.3">
      <c r="A537" s="5" t="s">
        <v>25</v>
      </c>
      <c r="B537" s="6">
        <v>0.81959685185185183</v>
      </c>
      <c r="C537">
        <v>4.99</v>
      </c>
      <c r="D537">
        <v>0.01</v>
      </c>
      <c r="E537">
        <v>7.9</v>
      </c>
      <c r="F537">
        <v>0</v>
      </c>
      <c r="G537">
        <v>0.04</v>
      </c>
      <c r="H537">
        <v>0.14000000000000001</v>
      </c>
      <c r="I537">
        <v>0.1</v>
      </c>
      <c r="J537">
        <v>0.18</v>
      </c>
      <c r="K537">
        <v>60.008000000000003</v>
      </c>
      <c r="L537" s="5" t="s">
        <v>19</v>
      </c>
    </row>
    <row r="538" spans="1:12" hidden="1" x14ac:dyDescent="0.3">
      <c r="A538" s="5" t="s">
        <v>25</v>
      </c>
      <c r="B538" s="6">
        <v>0.81960842592592598</v>
      </c>
      <c r="C538">
        <v>4.8899999999999997</v>
      </c>
      <c r="D538">
        <v>0.01</v>
      </c>
      <c r="E538">
        <v>7.7</v>
      </c>
      <c r="F538">
        <v>0</v>
      </c>
      <c r="G538">
        <v>0.04</v>
      </c>
      <c r="H538">
        <v>0.14000000000000001</v>
      </c>
      <c r="I538">
        <v>0.1</v>
      </c>
      <c r="J538">
        <v>0.18</v>
      </c>
      <c r="K538">
        <v>60.006999999999998</v>
      </c>
      <c r="L538" s="5" t="s">
        <v>19</v>
      </c>
    </row>
    <row r="539" spans="1:12" hidden="1" x14ac:dyDescent="0.3">
      <c r="A539" s="5" t="s">
        <v>25</v>
      </c>
      <c r="B539" s="6">
        <v>0.81962000000000002</v>
      </c>
      <c r="C539">
        <v>5.17</v>
      </c>
      <c r="D539">
        <v>0.01</v>
      </c>
      <c r="E539">
        <v>8.1</v>
      </c>
      <c r="F539">
        <v>0</v>
      </c>
      <c r="G539">
        <v>0.04</v>
      </c>
      <c r="H539">
        <v>0.14000000000000001</v>
      </c>
      <c r="I539">
        <v>0.1</v>
      </c>
      <c r="J539">
        <v>0.18</v>
      </c>
      <c r="K539">
        <v>60.008000000000003</v>
      </c>
      <c r="L539" s="5" t="s">
        <v>19</v>
      </c>
    </row>
    <row r="540" spans="1:12" hidden="1" x14ac:dyDescent="0.3">
      <c r="A540" s="5" t="s">
        <v>25</v>
      </c>
      <c r="B540" s="6">
        <v>0.81963157407407405</v>
      </c>
      <c r="C540">
        <v>4.84</v>
      </c>
      <c r="D540">
        <v>0.01</v>
      </c>
      <c r="E540">
        <v>7.8</v>
      </c>
      <c r="F540">
        <v>0</v>
      </c>
      <c r="G540">
        <v>0.04</v>
      </c>
      <c r="H540">
        <v>0.14000000000000001</v>
      </c>
      <c r="I540">
        <v>0.1</v>
      </c>
      <c r="J540">
        <v>0.18</v>
      </c>
      <c r="K540">
        <v>60.008000000000003</v>
      </c>
      <c r="L540" s="5" t="s">
        <v>19</v>
      </c>
    </row>
    <row r="541" spans="1:12" hidden="1" x14ac:dyDescent="0.3">
      <c r="A541" s="5" t="s">
        <v>25</v>
      </c>
      <c r="B541" s="6">
        <v>0.81964314814814809</v>
      </c>
      <c r="C541">
        <v>5.22</v>
      </c>
      <c r="D541">
        <v>0.01</v>
      </c>
      <c r="E541">
        <v>8.1</v>
      </c>
      <c r="F541">
        <v>0</v>
      </c>
      <c r="G541">
        <v>0.04</v>
      </c>
      <c r="H541">
        <v>0.15</v>
      </c>
      <c r="I541">
        <v>0.1</v>
      </c>
      <c r="J541">
        <v>0.18</v>
      </c>
      <c r="K541">
        <v>60.006999999999998</v>
      </c>
      <c r="L541" s="5" t="s">
        <v>19</v>
      </c>
    </row>
    <row r="542" spans="1:12" hidden="1" x14ac:dyDescent="0.3">
      <c r="A542" s="5" t="s">
        <v>25</v>
      </c>
      <c r="B542" s="6">
        <v>0.81965472222222224</v>
      </c>
      <c r="C542">
        <v>4.91</v>
      </c>
      <c r="D542">
        <v>0.01</v>
      </c>
      <c r="E542">
        <v>7.8</v>
      </c>
      <c r="F542">
        <v>0</v>
      </c>
      <c r="G542">
        <v>0.04</v>
      </c>
      <c r="H542">
        <v>0.14000000000000001</v>
      </c>
      <c r="I542">
        <v>0.1</v>
      </c>
      <c r="J542">
        <v>0.18</v>
      </c>
      <c r="K542">
        <v>60.008000000000003</v>
      </c>
      <c r="L542" s="5" t="s">
        <v>19</v>
      </c>
    </row>
    <row r="543" spans="1:12" hidden="1" x14ac:dyDescent="0.3">
      <c r="A543" s="5" t="s">
        <v>25</v>
      </c>
      <c r="B543" s="6">
        <v>0.81966629629629628</v>
      </c>
      <c r="C543">
        <v>5.14</v>
      </c>
      <c r="D543">
        <v>0.01</v>
      </c>
      <c r="E543">
        <v>8</v>
      </c>
      <c r="F543">
        <v>0</v>
      </c>
      <c r="G543">
        <v>0.04</v>
      </c>
      <c r="H543">
        <v>0.14000000000000001</v>
      </c>
      <c r="I543">
        <v>0.1</v>
      </c>
      <c r="J543">
        <v>0.18</v>
      </c>
      <c r="K543">
        <v>60.006999999999998</v>
      </c>
      <c r="L543" s="5" t="s">
        <v>19</v>
      </c>
    </row>
    <row r="544" spans="1:12" hidden="1" x14ac:dyDescent="0.3">
      <c r="A544" s="5" t="s">
        <v>25</v>
      </c>
      <c r="B544" s="6">
        <v>0.81967787037037032</v>
      </c>
      <c r="C544">
        <v>5.03</v>
      </c>
      <c r="D544">
        <v>0.01</v>
      </c>
      <c r="E544">
        <v>7.9</v>
      </c>
      <c r="F544">
        <v>0</v>
      </c>
      <c r="G544">
        <v>0.04</v>
      </c>
      <c r="H544">
        <v>0.15</v>
      </c>
      <c r="I544">
        <v>0.1</v>
      </c>
      <c r="J544">
        <v>0.18</v>
      </c>
      <c r="K544">
        <v>60.008000000000003</v>
      </c>
      <c r="L544" s="5" t="s">
        <v>19</v>
      </c>
    </row>
    <row r="545" spans="1:12" hidden="1" x14ac:dyDescent="0.3">
      <c r="A545" s="5" t="s">
        <v>25</v>
      </c>
      <c r="B545" s="6">
        <v>0.81968944444444447</v>
      </c>
      <c r="C545">
        <v>4.8600000000000003</v>
      </c>
      <c r="D545">
        <v>0.01</v>
      </c>
      <c r="E545">
        <v>7.7</v>
      </c>
      <c r="F545">
        <v>0</v>
      </c>
      <c r="G545">
        <v>0.04</v>
      </c>
      <c r="H545">
        <v>0.15</v>
      </c>
      <c r="I545">
        <v>0.1</v>
      </c>
      <c r="J545">
        <v>0.18</v>
      </c>
      <c r="K545">
        <v>60.006999999999998</v>
      </c>
      <c r="L545" s="5" t="s">
        <v>19</v>
      </c>
    </row>
    <row r="546" spans="1:12" hidden="1" x14ac:dyDescent="0.3">
      <c r="A546" s="5" t="s">
        <v>25</v>
      </c>
      <c r="B546" s="6">
        <v>0.81970101851851851</v>
      </c>
      <c r="C546">
        <v>5.21</v>
      </c>
      <c r="D546">
        <v>0.01</v>
      </c>
      <c r="E546">
        <v>8.1</v>
      </c>
      <c r="F546">
        <v>0</v>
      </c>
      <c r="G546">
        <v>0.04</v>
      </c>
      <c r="H546">
        <v>0.15</v>
      </c>
      <c r="I546">
        <v>0.1</v>
      </c>
      <c r="J546">
        <v>0.18</v>
      </c>
      <c r="K546">
        <v>60.008000000000003</v>
      </c>
      <c r="L546" s="5" t="s">
        <v>19</v>
      </c>
    </row>
    <row r="547" spans="1:12" hidden="1" x14ac:dyDescent="0.3">
      <c r="A547" s="5" t="s">
        <v>25</v>
      </c>
      <c r="B547" s="6">
        <v>0.81971259259259255</v>
      </c>
      <c r="C547">
        <v>4.84</v>
      </c>
      <c r="D547">
        <v>0.01</v>
      </c>
      <c r="E547">
        <v>7.8</v>
      </c>
      <c r="F547">
        <v>0</v>
      </c>
      <c r="G547">
        <v>0.04</v>
      </c>
      <c r="H547">
        <v>0.15</v>
      </c>
      <c r="I547">
        <v>0.1</v>
      </c>
      <c r="J547">
        <v>0.18</v>
      </c>
      <c r="K547">
        <v>60.006999999999998</v>
      </c>
      <c r="L547" s="5" t="s">
        <v>19</v>
      </c>
    </row>
    <row r="548" spans="1:12" hidden="1" x14ac:dyDescent="0.3">
      <c r="A548" s="5" t="s">
        <v>25</v>
      </c>
      <c r="B548" s="6">
        <v>0.8197241666666667</v>
      </c>
      <c r="C548">
        <v>5.23</v>
      </c>
      <c r="D548">
        <v>0.01</v>
      </c>
      <c r="E548">
        <v>8.1</v>
      </c>
      <c r="F548">
        <v>0</v>
      </c>
      <c r="G548">
        <v>0.04</v>
      </c>
      <c r="H548">
        <v>0.14000000000000001</v>
      </c>
      <c r="I548">
        <v>0.1</v>
      </c>
      <c r="J548">
        <v>0.18</v>
      </c>
      <c r="K548">
        <v>60.006999999999998</v>
      </c>
      <c r="L548" s="5" t="s">
        <v>19</v>
      </c>
    </row>
    <row r="549" spans="1:12" hidden="1" x14ac:dyDescent="0.3">
      <c r="A549" s="5" t="s">
        <v>25</v>
      </c>
      <c r="B549" s="6">
        <v>0.81973574074074074</v>
      </c>
      <c r="C549">
        <v>4.8899999999999997</v>
      </c>
      <c r="D549">
        <v>0.01</v>
      </c>
      <c r="E549">
        <v>7.8</v>
      </c>
      <c r="F549">
        <v>0</v>
      </c>
      <c r="G549">
        <v>0.04</v>
      </c>
      <c r="H549">
        <v>0.14000000000000001</v>
      </c>
      <c r="I549">
        <v>0.1</v>
      </c>
      <c r="J549">
        <v>0.18</v>
      </c>
      <c r="K549">
        <v>60.008000000000003</v>
      </c>
      <c r="L549" s="5" t="s">
        <v>19</v>
      </c>
    </row>
    <row r="550" spans="1:12" hidden="1" x14ac:dyDescent="0.3">
      <c r="A550" s="5" t="s">
        <v>25</v>
      </c>
      <c r="B550" s="6">
        <v>0.81974731481481478</v>
      </c>
      <c r="C550">
        <v>5.05</v>
      </c>
      <c r="D550">
        <v>0.01</v>
      </c>
      <c r="E550">
        <v>7.9</v>
      </c>
      <c r="F550">
        <v>0</v>
      </c>
      <c r="G550">
        <v>0.04</v>
      </c>
      <c r="H550">
        <v>0.15</v>
      </c>
      <c r="I550">
        <v>0.1</v>
      </c>
      <c r="J550">
        <v>0.18</v>
      </c>
      <c r="K550">
        <v>60.006999999999998</v>
      </c>
      <c r="L550" s="5" t="s">
        <v>19</v>
      </c>
    </row>
    <row r="551" spans="1:12" hidden="1" x14ac:dyDescent="0.3">
      <c r="A551" s="5" t="s">
        <v>25</v>
      </c>
      <c r="B551" s="6">
        <v>0.81975888888888893</v>
      </c>
      <c r="C551">
        <v>5.0599999999999996</v>
      </c>
      <c r="D551">
        <v>0.01</v>
      </c>
      <c r="E551">
        <v>7.9</v>
      </c>
      <c r="F551">
        <v>0</v>
      </c>
      <c r="G551">
        <v>0.04</v>
      </c>
      <c r="H551">
        <v>0.15</v>
      </c>
      <c r="I551">
        <v>0.1</v>
      </c>
      <c r="J551">
        <v>0.18</v>
      </c>
      <c r="K551">
        <v>60.008000000000003</v>
      </c>
      <c r="L551" s="5" t="s">
        <v>19</v>
      </c>
    </row>
    <row r="552" spans="1:12" hidden="1" x14ac:dyDescent="0.3">
      <c r="A552" s="5" t="s">
        <v>25</v>
      </c>
      <c r="B552" s="6">
        <v>0.81977046296296296</v>
      </c>
      <c r="C552">
        <v>4.8600000000000003</v>
      </c>
      <c r="D552">
        <v>0.01</v>
      </c>
      <c r="E552">
        <v>7.8</v>
      </c>
      <c r="F552">
        <v>0</v>
      </c>
      <c r="G552">
        <v>0.04</v>
      </c>
      <c r="H552">
        <v>0.14000000000000001</v>
      </c>
      <c r="I552">
        <v>0.1</v>
      </c>
      <c r="J552">
        <v>0.18</v>
      </c>
      <c r="K552">
        <v>60.008000000000003</v>
      </c>
      <c r="L552" s="5" t="s">
        <v>19</v>
      </c>
    </row>
    <row r="553" spans="1:12" hidden="1" x14ac:dyDescent="0.3">
      <c r="A553" s="5" t="s">
        <v>25</v>
      </c>
      <c r="B553" s="6">
        <v>0.819782037037037</v>
      </c>
      <c r="C553">
        <v>5.23</v>
      </c>
      <c r="D553">
        <v>0.01</v>
      </c>
      <c r="E553">
        <v>8.1</v>
      </c>
      <c r="F553">
        <v>0</v>
      </c>
      <c r="G553">
        <v>0.04</v>
      </c>
      <c r="H553">
        <v>0.14000000000000001</v>
      </c>
      <c r="I553">
        <v>0.1</v>
      </c>
      <c r="J553">
        <v>0.18</v>
      </c>
      <c r="K553">
        <v>60.009</v>
      </c>
      <c r="L553" s="5" t="s">
        <v>19</v>
      </c>
    </row>
    <row r="554" spans="1:12" hidden="1" x14ac:dyDescent="0.3">
      <c r="A554" s="5" t="s">
        <v>25</v>
      </c>
      <c r="B554" s="6">
        <v>0.81979361111111115</v>
      </c>
      <c r="C554">
        <v>6.72</v>
      </c>
      <c r="D554">
        <v>0.01</v>
      </c>
      <c r="E554">
        <v>9.5</v>
      </c>
      <c r="F554">
        <v>0</v>
      </c>
      <c r="G554">
        <v>0.04</v>
      </c>
      <c r="H554">
        <v>0.15</v>
      </c>
      <c r="I554">
        <v>0.1</v>
      </c>
      <c r="J554">
        <v>0.18</v>
      </c>
      <c r="K554">
        <v>60.003999999999998</v>
      </c>
      <c r="L554" s="5" t="s">
        <v>19</v>
      </c>
    </row>
    <row r="555" spans="1:12" hidden="1" x14ac:dyDescent="0.3">
      <c r="A555" s="5" t="s">
        <v>25</v>
      </c>
      <c r="B555" s="6">
        <v>0.81980518518518519</v>
      </c>
      <c r="C555">
        <v>6.77</v>
      </c>
      <c r="D555">
        <v>0.01</v>
      </c>
      <c r="E555">
        <v>9.5</v>
      </c>
      <c r="F555">
        <v>0</v>
      </c>
      <c r="G555">
        <v>0.04</v>
      </c>
      <c r="H555">
        <v>0.15</v>
      </c>
      <c r="I555">
        <v>0.1</v>
      </c>
      <c r="J555">
        <v>0.18</v>
      </c>
      <c r="K555">
        <v>60.005000000000003</v>
      </c>
      <c r="L555" s="5" t="s">
        <v>19</v>
      </c>
    </row>
    <row r="556" spans="1:12" hidden="1" x14ac:dyDescent="0.3">
      <c r="A556" s="5" t="s">
        <v>25</v>
      </c>
      <c r="B556" s="6">
        <v>0.81981675925925923</v>
      </c>
      <c r="C556">
        <v>6.77</v>
      </c>
      <c r="D556">
        <v>0.01</v>
      </c>
      <c r="E556">
        <v>9.5</v>
      </c>
      <c r="F556">
        <v>0</v>
      </c>
      <c r="G556">
        <v>0.04</v>
      </c>
      <c r="H556">
        <v>0.15</v>
      </c>
      <c r="I556">
        <v>0.1</v>
      </c>
      <c r="J556">
        <v>0.18</v>
      </c>
      <c r="K556">
        <v>60.003999999999998</v>
      </c>
      <c r="L556" s="5" t="s">
        <v>19</v>
      </c>
    </row>
    <row r="557" spans="1:12" hidden="1" x14ac:dyDescent="0.3">
      <c r="A557" s="5" t="s">
        <v>25</v>
      </c>
      <c r="B557" s="6">
        <v>0.81982833333333338</v>
      </c>
      <c r="C557">
        <v>6.76</v>
      </c>
      <c r="D557">
        <v>0.01</v>
      </c>
      <c r="E557">
        <v>9.5</v>
      </c>
      <c r="F557">
        <v>0</v>
      </c>
      <c r="G557">
        <v>0.04</v>
      </c>
      <c r="H557">
        <v>0.15</v>
      </c>
      <c r="I557">
        <v>0.1</v>
      </c>
      <c r="J557">
        <v>0.18</v>
      </c>
      <c r="K557">
        <v>60.005000000000003</v>
      </c>
      <c r="L557" s="5" t="s">
        <v>19</v>
      </c>
    </row>
    <row r="558" spans="1:12" hidden="1" x14ac:dyDescent="0.3">
      <c r="A558" s="5" t="s">
        <v>25</v>
      </c>
      <c r="B558" s="6">
        <v>0.81983990740740742</v>
      </c>
      <c r="C558">
        <v>6.63</v>
      </c>
      <c r="D558">
        <v>0.01</v>
      </c>
      <c r="E558">
        <v>9.3000000000000007</v>
      </c>
      <c r="F558">
        <v>0</v>
      </c>
      <c r="G558">
        <v>0.04</v>
      </c>
      <c r="H558">
        <v>0.15</v>
      </c>
      <c r="I558">
        <v>0.1</v>
      </c>
      <c r="J558">
        <v>0.18</v>
      </c>
      <c r="K558">
        <v>60.006</v>
      </c>
      <c r="L558" s="5" t="s">
        <v>19</v>
      </c>
    </row>
    <row r="559" spans="1:12" hidden="1" x14ac:dyDescent="0.3">
      <c r="A559" s="5" t="s">
        <v>25</v>
      </c>
      <c r="B559" s="6">
        <v>0.81985148148148146</v>
      </c>
      <c r="C559">
        <v>6.63</v>
      </c>
      <c r="D559">
        <v>0.01</v>
      </c>
      <c r="E559">
        <v>9.3000000000000007</v>
      </c>
      <c r="F559">
        <v>0</v>
      </c>
      <c r="G559">
        <v>0.04</v>
      </c>
      <c r="H559">
        <v>0.14000000000000001</v>
      </c>
      <c r="I559">
        <v>0.1</v>
      </c>
      <c r="J559">
        <v>0.18</v>
      </c>
      <c r="K559">
        <v>60.003999999999998</v>
      </c>
      <c r="L559" s="5" t="s">
        <v>19</v>
      </c>
    </row>
    <row r="560" spans="1:12" hidden="1" x14ac:dyDescent="0.3">
      <c r="A560" s="5" t="s">
        <v>25</v>
      </c>
      <c r="B560" s="6">
        <v>0.81986305555555561</v>
      </c>
      <c r="C560">
        <v>6.63</v>
      </c>
      <c r="D560">
        <v>0.01</v>
      </c>
      <c r="E560">
        <v>9.3000000000000007</v>
      </c>
      <c r="F560">
        <v>0</v>
      </c>
      <c r="G560">
        <v>0.04</v>
      </c>
      <c r="H560">
        <v>0.15</v>
      </c>
      <c r="I560">
        <v>0.1</v>
      </c>
      <c r="J560">
        <v>0.18</v>
      </c>
      <c r="K560">
        <v>60.006</v>
      </c>
      <c r="L560" s="5" t="s">
        <v>19</v>
      </c>
    </row>
    <row r="561" spans="1:12" hidden="1" x14ac:dyDescent="0.3">
      <c r="A561" s="5" t="s">
        <v>25</v>
      </c>
      <c r="B561" s="6">
        <v>0.81987462962962965</v>
      </c>
      <c r="C561">
        <v>6.63</v>
      </c>
      <c r="D561">
        <v>0.01</v>
      </c>
      <c r="E561">
        <v>9.3000000000000007</v>
      </c>
      <c r="F561">
        <v>0</v>
      </c>
      <c r="G561">
        <v>0.04</v>
      </c>
      <c r="H561">
        <v>0.15</v>
      </c>
      <c r="I561">
        <v>0.1</v>
      </c>
      <c r="J561">
        <v>0.18</v>
      </c>
      <c r="K561">
        <v>60.005000000000003</v>
      </c>
      <c r="L561" s="5" t="s">
        <v>19</v>
      </c>
    </row>
    <row r="562" spans="1:12" hidden="1" x14ac:dyDescent="0.3">
      <c r="A562" s="5" t="s">
        <v>25</v>
      </c>
      <c r="B562" s="6">
        <v>0.81988620370370369</v>
      </c>
      <c r="C562">
        <v>6.63</v>
      </c>
      <c r="D562">
        <v>0.01</v>
      </c>
      <c r="E562">
        <v>9.3000000000000007</v>
      </c>
      <c r="F562">
        <v>0</v>
      </c>
      <c r="G562">
        <v>0.04</v>
      </c>
      <c r="H562">
        <v>0.15</v>
      </c>
      <c r="I562">
        <v>0.1</v>
      </c>
      <c r="J562">
        <v>0.18</v>
      </c>
      <c r="K562">
        <v>60.005000000000003</v>
      </c>
      <c r="L562" s="5" t="s">
        <v>19</v>
      </c>
    </row>
    <row r="563" spans="1:12" hidden="1" x14ac:dyDescent="0.3">
      <c r="A563" s="5" t="s">
        <v>25</v>
      </c>
      <c r="B563" s="6">
        <v>0.81989777777777773</v>
      </c>
      <c r="C563">
        <v>6.61</v>
      </c>
      <c r="D563">
        <v>0.01</v>
      </c>
      <c r="E563">
        <v>9.1999999999999993</v>
      </c>
      <c r="F563">
        <v>0</v>
      </c>
      <c r="G563">
        <v>0.04</v>
      </c>
      <c r="H563">
        <v>0.14000000000000001</v>
      </c>
      <c r="I563">
        <v>0.1</v>
      </c>
      <c r="J563">
        <v>0.18</v>
      </c>
      <c r="K563">
        <v>60.003999999999998</v>
      </c>
      <c r="L563" s="5" t="s">
        <v>19</v>
      </c>
    </row>
    <row r="564" spans="1:12" hidden="1" x14ac:dyDescent="0.3">
      <c r="A564" s="5" t="s">
        <v>25</v>
      </c>
      <c r="B564" s="6">
        <v>0.81990935185185188</v>
      </c>
      <c r="C564">
        <v>6.61</v>
      </c>
      <c r="D564">
        <v>0.01</v>
      </c>
      <c r="E564">
        <v>9.1999999999999993</v>
      </c>
      <c r="F564">
        <v>0</v>
      </c>
      <c r="G564">
        <v>0.04</v>
      </c>
      <c r="H564">
        <v>0.14000000000000001</v>
      </c>
      <c r="I564">
        <v>0.1</v>
      </c>
      <c r="J564">
        <v>0.18</v>
      </c>
      <c r="K564">
        <v>60.008000000000003</v>
      </c>
      <c r="L564" s="5" t="s">
        <v>19</v>
      </c>
    </row>
    <row r="565" spans="1:12" hidden="1" x14ac:dyDescent="0.3">
      <c r="A565" s="5" t="s">
        <v>25</v>
      </c>
      <c r="B565" s="6">
        <v>0.81992092592592591</v>
      </c>
      <c r="C565">
        <v>6.61</v>
      </c>
      <c r="D565">
        <v>0.01</v>
      </c>
      <c r="E565">
        <v>9.1999999999999993</v>
      </c>
      <c r="F565">
        <v>0</v>
      </c>
      <c r="G565">
        <v>0.04</v>
      </c>
      <c r="H565">
        <v>0.14000000000000001</v>
      </c>
      <c r="I565">
        <v>0.1</v>
      </c>
      <c r="J565">
        <v>0.18</v>
      </c>
      <c r="K565">
        <v>60.008000000000003</v>
      </c>
      <c r="L565" s="5" t="s">
        <v>19</v>
      </c>
    </row>
    <row r="566" spans="1:12" hidden="1" x14ac:dyDescent="0.3">
      <c r="A566" s="5" t="s">
        <v>25</v>
      </c>
      <c r="B566" s="6">
        <v>0.81993249999999995</v>
      </c>
      <c r="C566">
        <v>6.61</v>
      </c>
      <c r="D566">
        <v>0.01</v>
      </c>
      <c r="E566">
        <v>9.1999999999999993</v>
      </c>
      <c r="F566">
        <v>0</v>
      </c>
      <c r="G566">
        <v>0.04</v>
      </c>
      <c r="H566">
        <v>0.15</v>
      </c>
      <c r="I566">
        <v>0.1</v>
      </c>
      <c r="J566">
        <v>0.18</v>
      </c>
      <c r="K566">
        <v>60.008000000000003</v>
      </c>
      <c r="L566" s="5" t="s">
        <v>19</v>
      </c>
    </row>
    <row r="567" spans="1:12" hidden="1" x14ac:dyDescent="0.3">
      <c r="A567" s="5" t="s">
        <v>25</v>
      </c>
      <c r="B567" s="6">
        <v>0.8199440740740741</v>
      </c>
      <c r="C567">
        <v>6.54</v>
      </c>
      <c r="D567">
        <v>0.01</v>
      </c>
      <c r="E567">
        <v>9.1999999999999993</v>
      </c>
      <c r="F567">
        <v>0</v>
      </c>
      <c r="G567">
        <v>0.04</v>
      </c>
      <c r="H567">
        <v>0.14000000000000001</v>
      </c>
      <c r="I567">
        <v>0.1</v>
      </c>
      <c r="J567">
        <v>0.18</v>
      </c>
      <c r="K567">
        <v>60.008000000000003</v>
      </c>
      <c r="L567" s="5" t="s">
        <v>19</v>
      </c>
    </row>
    <row r="568" spans="1:12" hidden="1" x14ac:dyDescent="0.3">
      <c r="A568" s="5" t="s">
        <v>25</v>
      </c>
      <c r="B568" s="6">
        <v>0.81995564814814814</v>
      </c>
      <c r="C568">
        <v>5.77</v>
      </c>
      <c r="D568">
        <v>0.01</v>
      </c>
      <c r="E568">
        <v>8</v>
      </c>
      <c r="F568">
        <v>0</v>
      </c>
      <c r="G568">
        <v>0.04</v>
      </c>
      <c r="H568">
        <v>0.14000000000000001</v>
      </c>
      <c r="I568">
        <v>0.1</v>
      </c>
      <c r="J568">
        <v>0.18</v>
      </c>
      <c r="K568">
        <v>60.006999999999998</v>
      </c>
      <c r="L568" s="5" t="s">
        <v>19</v>
      </c>
    </row>
    <row r="569" spans="1:12" hidden="1" x14ac:dyDescent="0.3">
      <c r="A569" s="5" t="s">
        <v>25</v>
      </c>
      <c r="B569" s="6">
        <v>0.81996722222222218</v>
      </c>
      <c r="C569">
        <v>5.77</v>
      </c>
      <c r="D569">
        <v>0.01</v>
      </c>
      <c r="E569">
        <v>8</v>
      </c>
      <c r="F569">
        <v>0</v>
      </c>
      <c r="G569">
        <v>0.04</v>
      </c>
      <c r="H569">
        <v>0.15</v>
      </c>
      <c r="I569">
        <v>0.1</v>
      </c>
      <c r="J569">
        <v>0.18</v>
      </c>
      <c r="K569">
        <v>60.006999999999998</v>
      </c>
      <c r="L569" s="5" t="s">
        <v>19</v>
      </c>
    </row>
    <row r="570" spans="1:12" hidden="1" x14ac:dyDescent="0.3">
      <c r="A570" s="5" t="s">
        <v>25</v>
      </c>
      <c r="B570" s="6">
        <v>0.81997879629629633</v>
      </c>
      <c r="C570">
        <v>5.76</v>
      </c>
      <c r="D570">
        <v>0.01</v>
      </c>
      <c r="E570">
        <v>7.9</v>
      </c>
      <c r="F570">
        <v>0</v>
      </c>
      <c r="G570">
        <v>0.04</v>
      </c>
      <c r="H570">
        <v>0.15</v>
      </c>
      <c r="I570">
        <v>0.1</v>
      </c>
      <c r="J570">
        <v>0.18</v>
      </c>
      <c r="K570">
        <v>60.006999999999998</v>
      </c>
      <c r="L570" s="5" t="s">
        <v>19</v>
      </c>
    </row>
    <row r="571" spans="1:12" hidden="1" x14ac:dyDescent="0.3">
      <c r="A571" s="5" t="s">
        <v>25</v>
      </c>
      <c r="B571" s="6">
        <v>0.81999037037037037</v>
      </c>
      <c r="C571">
        <v>5.75</v>
      </c>
      <c r="D571">
        <v>0.01</v>
      </c>
      <c r="E571">
        <v>7.9</v>
      </c>
      <c r="F571">
        <v>0</v>
      </c>
      <c r="G571">
        <v>0.04</v>
      </c>
      <c r="H571">
        <v>0.15</v>
      </c>
      <c r="I571">
        <v>0.1</v>
      </c>
      <c r="J571">
        <v>0.18</v>
      </c>
      <c r="K571">
        <v>60.006</v>
      </c>
      <c r="L571" s="5" t="s">
        <v>19</v>
      </c>
    </row>
    <row r="572" spans="1:12" hidden="1" x14ac:dyDescent="0.3">
      <c r="A572" s="5" t="s">
        <v>25</v>
      </c>
      <c r="B572" s="6">
        <v>0.82000194444444441</v>
      </c>
      <c r="C572">
        <v>5.67</v>
      </c>
      <c r="D572">
        <v>0.01</v>
      </c>
      <c r="E572">
        <v>7.9</v>
      </c>
      <c r="F572">
        <v>0</v>
      </c>
      <c r="G572">
        <v>0.04</v>
      </c>
      <c r="H572">
        <v>0.15</v>
      </c>
      <c r="I572">
        <v>0.1</v>
      </c>
      <c r="J572">
        <v>0.18</v>
      </c>
      <c r="K572">
        <v>60.006</v>
      </c>
      <c r="L572" s="5" t="s">
        <v>19</v>
      </c>
    </row>
    <row r="573" spans="1:12" hidden="1" x14ac:dyDescent="0.3">
      <c r="A573" s="5" t="s">
        <v>25</v>
      </c>
      <c r="B573" s="6">
        <v>0.82001351851851856</v>
      </c>
      <c r="C573">
        <v>4.96</v>
      </c>
      <c r="D573">
        <v>0.01</v>
      </c>
      <c r="E573">
        <v>6.8</v>
      </c>
      <c r="F573">
        <v>0</v>
      </c>
      <c r="G573">
        <v>0.04</v>
      </c>
      <c r="H573">
        <v>0.15</v>
      </c>
      <c r="I573">
        <v>0.1</v>
      </c>
      <c r="J573">
        <v>0.18</v>
      </c>
      <c r="K573">
        <v>60.005000000000003</v>
      </c>
      <c r="L573" s="5" t="s">
        <v>19</v>
      </c>
    </row>
    <row r="574" spans="1:12" hidden="1" x14ac:dyDescent="0.3">
      <c r="A574" s="5" t="s">
        <v>25</v>
      </c>
      <c r="B574" s="6">
        <v>0.8200250925925926</v>
      </c>
      <c r="C574">
        <v>4.95</v>
      </c>
      <c r="D574">
        <v>0.01</v>
      </c>
      <c r="E574">
        <v>6.7</v>
      </c>
      <c r="F574">
        <v>0</v>
      </c>
      <c r="G574">
        <v>0.04</v>
      </c>
      <c r="H574">
        <v>0.15</v>
      </c>
      <c r="I574">
        <v>0.1</v>
      </c>
      <c r="J574">
        <v>0.18</v>
      </c>
      <c r="K574">
        <v>60.005000000000003</v>
      </c>
      <c r="L574" s="5" t="s">
        <v>19</v>
      </c>
    </row>
    <row r="575" spans="1:12" hidden="1" x14ac:dyDescent="0.3">
      <c r="A575" s="5" t="s">
        <v>25</v>
      </c>
      <c r="B575" s="6">
        <v>0.82003666666666664</v>
      </c>
      <c r="C575">
        <v>4.95</v>
      </c>
      <c r="D575">
        <v>0.01</v>
      </c>
      <c r="E575">
        <v>6.7</v>
      </c>
      <c r="F575">
        <v>0</v>
      </c>
      <c r="G575">
        <v>0.04</v>
      </c>
      <c r="H575">
        <v>0.14000000000000001</v>
      </c>
      <c r="I575">
        <v>0.1</v>
      </c>
      <c r="J575">
        <v>0.18</v>
      </c>
      <c r="K575">
        <v>60.005000000000003</v>
      </c>
      <c r="L575" s="5" t="s">
        <v>19</v>
      </c>
    </row>
    <row r="576" spans="1:12" hidden="1" x14ac:dyDescent="0.3">
      <c r="A576" s="5" t="s">
        <v>25</v>
      </c>
      <c r="B576" s="6">
        <v>0.82004824074074079</v>
      </c>
      <c r="C576">
        <v>4.9400000000000004</v>
      </c>
      <c r="D576">
        <v>0.01</v>
      </c>
      <c r="E576">
        <v>6.7</v>
      </c>
      <c r="F576">
        <v>0</v>
      </c>
      <c r="G576">
        <v>0.04</v>
      </c>
      <c r="H576">
        <v>0.14000000000000001</v>
      </c>
      <c r="I576">
        <v>0.1</v>
      </c>
      <c r="J576">
        <v>0.18</v>
      </c>
      <c r="K576">
        <v>60.003999999999998</v>
      </c>
      <c r="L576" s="5" t="s">
        <v>19</v>
      </c>
    </row>
    <row r="577" spans="1:12" hidden="1" x14ac:dyDescent="0.3">
      <c r="A577" s="5" t="s">
        <v>25</v>
      </c>
      <c r="B577" s="6">
        <v>0.82005981481481482</v>
      </c>
      <c r="C577">
        <v>4.8899999999999997</v>
      </c>
      <c r="D577">
        <v>0.01</v>
      </c>
      <c r="E577">
        <v>6.7</v>
      </c>
      <c r="F577">
        <v>0</v>
      </c>
      <c r="G577">
        <v>0.04</v>
      </c>
      <c r="H577">
        <v>0.15</v>
      </c>
      <c r="I577">
        <v>0.1</v>
      </c>
      <c r="J577">
        <v>0.18</v>
      </c>
      <c r="K577">
        <v>60.003999999999998</v>
      </c>
      <c r="L577" s="5" t="s">
        <v>19</v>
      </c>
    </row>
    <row r="578" spans="1:12" hidden="1" x14ac:dyDescent="0.3">
      <c r="A578" s="5" t="s">
        <v>25</v>
      </c>
      <c r="B578" s="6">
        <v>0.82007138888888886</v>
      </c>
      <c r="C578">
        <v>4.3099999999999996</v>
      </c>
      <c r="D578">
        <v>0.01</v>
      </c>
      <c r="E578">
        <v>5.8</v>
      </c>
      <c r="F578">
        <v>0</v>
      </c>
      <c r="G578">
        <v>0.04</v>
      </c>
      <c r="H578">
        <v>0.15</v>
      </c>
      <c r="I578">
        <v>0.1</v>
      </c>
      <c r="J578">
        <v>0.18</v>
      </c>
      <c r="K578">
        <v>60.003</v>
      </c>
      <c r="L578" s="5" t="s">
        <v>19</v>
      </c>
    </row>
    <row r="579" spans="1:12" hidden="1" x14ac:dyDescent="0.3">
      <c r="A579" s="5" t="s">
        <v>25</v>
      </c>
      <c r="B579" s="6">
        <v>0.82008296296296301</v>
      </c>
      <c r="C579">
        <v>4.3099999999999996</v>
      </c>
      <c r="D579">
        <v>0.01</v>
      </c>
      <c r="E579">
        <v>5.8</v>
      </c>
      <c r="F579">
        <v>0</v>
      </c>
      <c r="G579">
        <v>0.04</v>
      </c>
      <c r="H579">
        <v>0.15</v>
      </c>
      <c r="I579">
        <v>0.1</v>
      </c>
      <c r="J579">
        <v>0.18</v>
      </c>
      <c r="K579">
        <v>60.003</v>
      </c>
      <c r="L579" s="5" t="s">
        <v>19</v>
      </c>
    </row>
    <row r="580" spans="1:12" hidden="1" x14ac:dyDescent="0.3">
      <c r="A580" s="5" t="s">
        <v>25</v>
      </c>
      <c r="B580" s="6">
        <v>0.82009453703703705</v>
      </c>
      <c r="C580">
        <v>4.3099999999999996</v>
      </c>
      <c r="D580">
        <v>0.01</v>
      </c>
      <c r="E580">
        <v>5.8</v>
      </c>
      <c r="F580">
        <v>0</v>
      </c>
      <c r="G580">
        <v>0.04</v>
      </c>
      <c r="H580">
        <v>0.15</v>
      </c>
      <c r="I580">
        <v>0.1</v>
      </c>
      <c r="J580">
        <v>0.18</v>
      </c>
      <c r="K580">
        <v>60.003</v>
      </c>
      <c r="L580" s="5" t="s">
        <v>19</v>
      </c>
    </row>
    <row r="581" spans="1:12" hidden="1" x14ac:dyDescent="0.3">
      <c r="A581" s="5" t="s">
        <v>25</v>
      </c>
      <c r="B581" s="6">
        <v>0.82010611111111109</v>
      </c>
      <c r="C581">
        <v>4.3099999999999996</v>
      </c>
      <c r="D581">
        <v>0.01</v>
      </c>
      <c r="E581">
        <v>5.8</v>
      </c>
      <c r="F581">
        <v>0</v>
      </c>
      <c r="G581">
        <v>0.04</v>
      </c>
      <c r="H581">
        <v>0.14000000000000001</v>
      </c>
      <c r="I581">
        <v>0.1</v>
      </c>
      <c r="J581">
        <v>0.18</v>
      </c>
      <c r="K581">
        <v>60.002000000000002</v>
      </c>
      <c r="L581" s="5" t="s">
        <v>19</v>
      </c>
    </row>
    <row r="582" spans="1:12" hidden="1" x14ac:dyDescent="0.3">
      <c r="A582" s="5" t="s">
        <v>25</v>
      </c>
      <c r="B582" s="6">
        <v>0.82011768518518513</v>
      </c>
      <c r="C582">
        <v>4.3099999999999996</v>
      </c>
      <c r="D582">
        <v>0.01</v>
      </c>
      <c r="E582">
        <v>5.8</v>
      </c>
      <c r="F582">
        <v>0</v>
      </c>
      <c r="G582">
        <v>0.05</v>
      </c>
      <c r="H582">
        <v>0.14000000000000001</v>
      </c>
      <c r="I582">
        <v>0.1</v>
      </c>
      <c r="J582">
        <v>0.18</v>
      </c>
      <c r="K582">
        <v>60.002000000000002</v>
      </c>
      <c r="L582" s="5" t="s">
        <v>19</v>
      </c>
    </row>
    <row r="583" spans="1:12" hidden="1" x14ac:dyDescent="0.3">
      <c r="A583" s="5" t="s">
        <v>25</v>
      </c>
      <c r="B583" s="6">
        <v>0.82012925925925928</v>
      </c>
      <c r="C583">
        <v>4.28</v>
      </c>
      <c r="D583">
        <v>0.01</v>
      </c>
      <c r="E583">
        <v>5.8</v>
      </c>
      <c r="F583">
        <v>0</v>
      </c>
      <c r="G583">
        <v>0.04</v>
      </c>
      <c r="H583">
        <v>0.14000000000000001</v>
      </c>
      <c r="I583">
        <v>0.1</v>
      </c>
      <c r="J583">
        <v>0.18</v>
      </c>
      <c r="K583">
        <v>60.002000000000002</v>
      </c>
      <c r="L583" s="5" t="s">
        <v>19</v>
      </c>
    </row>
    <row r="584" spans="1:12" hidden="1" x14ac:dyDescent="0.3">
      <c r="A584" s="5" t="s">
        <v>25</v>
      </c>
      <c r="B584" s="6">
        <v>0.82014083333333332</v>
      </c>
      <c r="C584">
        <v>4.29</v>
      </c>
      <c r="D584">
        <v>0.01</v>
      </c>
      <c r="E584">
        <v>5.8</v>
      </c>
      <c r="F584">
        <v>0</v>
      </c>
      <c r="G584">
        <v>0.04</v>
      </c>
      <c r="H584">
        <v>0.14000000000000001</v>
      </c>
      <c r="I584">
        <v>0.1</v>
      </c>
      <c r="J584">
        <v>0.18</v>
      </c>
      <c r="K584">
        <v>60.002000000000002</v>
      </c>
      <c r="L584" s="5" t="s">
        <v>19</v>
      </c>
    </row>
    <row r="585" spans="1:12" hidden="1" x14ac:dyDescent="0.3">
      <c r="A585" s="5" t="s">
        <v>25</v>
      </c>
      <c r="B585" s="6">
        <v>0.82015240740740736</v>
      </c>
      <c r="C585">
        <v>4.29</v>
      </c>
      <c r="D585">
        <v>0.01</v>
      </c>
      <c r="E585">
        <v>5.8</v>
      </c>
      <c r="F585">
        <v>0</v>
      </c>
      <c r="G585">
        <v>0.05</v>
      </c>
      <c r="H585">
        <v>0.14000000000000001</v>
      </c>
      <c r="I585">
        <v>0.1</v>
      </c>
      <c r="J585">
        <v>0.18</v>
      </c>
      <c r="K585">
        <v>60.002000000000002</v>
      </c>
      <c r="L585" s="5" t="s">
        <v>19</v>
      </c>
    </row>
    <row r="586" spans="1:12" hidden="1" x14ac:dyDescent="0.3">
      <c r="A586" s="5" t="s">
        <v>25</v>
      </c>
      <c r="B586" s="6">
        <v>0.82016398148148151</v>
      </c>
      <c r="C586">
        <v>4.28</v>
      </c>
      <c r="D586">
        <v>0.01</v>
      </c>
      <c r="E586">
        <v>5.8</v>
      </c>
      <c r="F586">
        <v>0</v>
      </c>
      <c r="G586">
        <v>0.04</v>
      </c>
      <c r="H586">
        <v>0.14000000000000001</v>
      </c>
      <c r="I586">
        <v>0.1</v>
      </c>
      <c r="J586">
        <v>0.18</v>
      </c>
      <c r="K586">
        <v>60.002000000000002</v>
      </c>
      <c r="L586" s="5" t="s">
        <v>19</v>
      </c>
    </row>
    <row r="587" spans="1:12" hidden="1" x14ac:dyDescent="0.3">
      <c r="A587" s="5" t="s">
        <v>25</v>
      </c>
      <c r="B587" s="6">
        <v>0.82017555555555555</v>
      </c>
      <c r="C587">
        <v>4.28</v>
      </c>
      <c r="D587">
        <v>0.01</v>
      </c>
      <c r="E587">
        <v>5.8</v>
      </c>
      <c r="F587">
        <v>0</v>
      </c>
      <c r="G587">
        <v>0.04</v>
      </c>
      <c r="H587">
        <v>0.14000000000000001</v>
      </c>
      <c r="I587">
        <v>0.1</v>
      </c>
      <c r="J587">
        <v>0.18</v>
      </c>
      <c r="K587">
        <v>60.002000000000002</v>
      </c>
      <c r="L587" s="5" t="s">
        <v>19</v>
      </c>
    </row>
    <row r="588" spans="1:12" hidden="1" x14ac:dyDescent="0.3">
      <c r="A588" s="5" t="s">
        <v>25</v>
      </c>
      <c r="B588" s="6">
        <v>0.82018712962962959</v>
      </c>
      <c r="C588">
        <v>4.28</v>
      </c>
      <c r="D588">
        <v>0.01</v>
      </c>
      <c r="E588">
        <v>5.8</v>
      </c>
      <c r="F588">
        <v>0</v>
      </c>
      <c r="G588">
        <v>0.04</v>
      </c>
      <c r="H588">
        <v>0.14000000000000001</v>
      </c>
      <c r="I588">
        <v>0.1</v>
      </c>
      <c r="J588">
        <v>0.18</v>
      </c>
      <c r="K588">
        <v>60.003</v>
      </c>
      <c r="L588" s="5" t="s">
        <v>19</v>
      </c>
    </row>
    <row r="589" spans="1:12" hidden="1" x14ac:dyDescent="0.3">
      <c r="A589" s="5" t="s">
        <v>25</v>
      </c>
      <c r="B589" s="6">
        <v>0.82019870370370374</v>
      </c>
      <c r="C589">
        <v>4.2699999999999996</v>
      </c>
      <c r="D589">
        <v>0.01</v>
      </c>
      <c r="E589">
        <v>5.8</v>
      </c>
      <c r="F589">
        <v>0</v>
      </c>
      <c r="G589">
        <v>0.04</v>
      </c>
      <c r="H589">
        <v>0.15</v>
      </c>
      <c r="I589">
        <v>0.1</v>
      </c>
      <c r="J589">
        <v>0.18</v>
      </c>
      <c r="K589">
        <v>60.003</v>
      </c>
      <c r="L589" s="5" t="s">
        <v>19</v>
      </c>
    </row>
    <row r="590" spans="1:12" hidden="1" x14ac:dyDescent="0.3">
      <c r="A590" s="5" t="s">
        <v>25</v>
      </c>
      <c r="B590" s="6">
        <v>0.82021027777777777</v>
      </c>
      <c r="C590">
        <v>4.2699999999999996</v>
      </c>
      <c r="D590">
        <v>0.01</v>
      </c>
      <c r="E590">
        <v>5.8</v>
      </c>
      <c r="F590">
        <v>0</v>
      </c>
      <c r="G590">
        <v>0.05</v>
      </c>
      <c r="H590">
        <v>0.15</v>
      </c>
      <c r="I590">
        <v>0.1</v>
      </c>
      <c r="J590">
        <v>0.18</v>
      </c>
      <c r="K590">
        <v>60.002000000000002</v>
      </c>
      <c r="L590" s="5" t="s">
        <v>19</v>
      </c>
    </row>
    <row r="591" spans="1:12" hidden="1" x14ac:dyDescent="0.3">
      <c r="A591" s="5" t="s">
        <v>25</v>
      </c>
      <c r="B591" s="6">
        <v>0.82022185185185181</v>
      </c>
      <c r="C591">
        <v>4.28</v>
      </c>
      <c r="D591">
        <v>0.01</v>
      </c>
      <c r="E591">
        <v>5.8</v>
      </c>
      <c r="F591">
        <v>0</v>
      </c>
      <c r="G591">
        <v>0.04</v>
      </c>
      <c r="H591">
        <v>0.15</v>
      </c>
      <c r="I591">
        <v>0.1</v>
      </c>
      <c r="J591">
        <v>0.18</v>
      </c>
      <c r="K591">
        <v>60.002000000000002</v>
      </c>
      <c r="L591" s="5" t="s">
        <v>19</v>
      </c>
    </row>
    <row r="592" spans="1:12" hidden="1" x14ac:dyDescent="0.3">
      <c r="A592" s="5" t="s">
        <v>25</v>
      </c>
      <c r="B592" s="6">
        <v>0.82023342592592596</v>
      </c>
      <c r="C592">
        <v>4.28</v>
      </c>
      <c r="D592">
        <v>0.01</v>
      </c>
      <c r="E592">
        <v>5.8</v>
      </c>
      <c r="F592">
        <v>0</v>
      </c>
      <c r="G592">
        <v>0.04</v>
      </c>
      <c r="H592">
        <v>0.15</v>
      </c>
      <c r="I592">
        <v>0.1</v>
      </c>
      <c r="J592">
        <v>0.18</v>
      </c>
      <c r="K592">
        <v>60.002000000000002</v>
      </c>
      <c r="L592" s="5" t="s">
        <v>19</v>
      </c>
    </row>
    <row r="593" spans="1:12" hidden="1" x14ac:dyDescent="0.3">
      <c r="A593" s="5" t="s">
        <v>25</v>
      </c>
      <c r="B593" s="6">
        <v>0.820245</v>
      </c>
      <c r="C593">
        <v>4.2699999999999996</v>
      </c>
      <c r="D593">
        <v>0.01</v>
      </c>
      <c r="E593">
        <v>5.8</v>
      </c>
      <c r="F593">
        <v>0</v>
      </c>
      <c r="G593">
        <v>0.04</v>
      </c>
      <c r="H593">
        <v>0.15</v>
      </c>
      <c r="I593">
        <v>0.1</v>
      </c>
      <c r="J593">
        <v>0.18</v>
      </c>
      <c r="K593">
        <v>60.002000000000002</v>
      </c>
      <c r="L593" s="5" t="s">
        <v>19</v>
      </c>
    </row>
    <row r="594" spans="1:12" hidden="1" x14ac:dyDescent="0.3">
      <c r="A594" s="5" t="s">
        <v>25</v>
      </c>
      <c r="B594" s="6">
        <v>0.82025657407407404</v>
      </c>
      <c r="C594">
        <v>4.2699999999999996</v>
      </c>
      <c r="D594">
        <v>0.01</v>
      </c>
      <c r="E594">
        <v>5.8</v>
      </c>
      <c r="F594">
        <v>0</v>
      </c>
      <c r="G594">
        <v>0.04</v>
      </c>
      <c r="H594">
        <v>0.14000000000000001</v>
      </c>
      <c r="I594">
        <v>0.1</v>
      </c>
      <c r="J594">
        <v>0.18</v>
      </c>
      <c r="K594">
        <v>60.002000000000002</v>
      </c>
      <c r="L594" s="5" t="s">
        <v>19</v>
      </c>
    </row>
    <row r="595" spans="1:12" hidden="1" x14ac:dyDescent="0.3">
      <c r="A595" s="5" t="s">
        <v>25</v>
      </c>
      <c r="B595" s="6">
        <v>0.82026814814814819</v>
      </c>
      <c r="C595">
        <v>4.28</v>
      </c>
      <c r="D595">
        <v>0.01</v>
      </c>
      <c r="E595">
        <v>5.8</v>
      </c>
      <c r="F595">
        <v>0</v>
      </c>
      <c r="G595">
        <v>0.04</v>
      </c>
      <c r="H595">
        <v>0.14000000000000001</v>
      </c>
      <c r="I595">
        <v>0.1</v>
      </c>
      <c r="J595">
        <v>0.18</v>
      </c>
      <c r="K595">
        <v>60.002000000000002</v>
      </c>
      <c r="L595" s="5" t="s">
        <v>19</v>
      </c>
    </row>
    <row r="596" spans="1:12" hidden="1" x14ac:dyDescent="0.3">
      <c r="A596" s="5" t="s">
        <v>25</v>
      </c>
      <c r="B596" s="6">
        <v>0.82027972222222223</v>
      </c>
      <c r="C596">
        <v>4.28</v>
      </c>
      <c r="D596">
        <v>0.01</v>
      </c>
      <c r="E596">
        <v>5.8</v>
      </c>
      <c r="F596">
        <v>0</v>
      </c>
      <c r="G596">
        <v>0.04</v>
      </c>
      <c r="H596">
        <v>0.15</v>
      </c>
      <c r="I596">
        <v>0.1</v>
      </c>
      <c r="J596">
        <v>0.18</v>
      </c>
      <c r="K596">
        <v>60.000999999999998</v>
      </c>
      <c r="L596" s="5" t="s">
        <v>19</v>
      </c>
    </row>
    <row r="597" spans="1:12" hidden="1" x14ac:dyDescent="0.3">
      <c r="A597" s="5" t="s">
        <v>25</v>
      </c>
      <c r="B597" s="6">
        <v>0.82029129629629627</v>
      </c>
      <c r="C597">
        <v>4.28</v>
      </c>
      <c r="D597">
        <v>0.01</v>
      </c>
      <c r="E597">
        <v>5.8</v>
      </c>
      <c r="F597">
        <v>0</v>
      </c>
      <c r="G597">
        <v>0.04</v>
      </c>
      <c r="H597">
        <v>0.15</v>
      </c>
      <c r="I597">
        <v>0.1</v>
      </c>
      <c r="J597">
        <v>0.18</v>
      </c>
      <c r="K597">
        <v>60.000999999999998</v>
      </c>
      <c r="L597" s="5" t="s">
        <v>19</v>
      </c>
    </row>
    <row r="598" spans="1:12" hidden="1" x14ac:dyDescent="0.3">
      <c r="A598" s="5" t="s">
        <v>25</v>
      </c>
      <c r="B598" s="6">
        <v>0.82030287037037042</v>
      </c>
      <c r="C598">
        <v>4.28</v>
      </c>
      <c r="D598">
        <v>0.01</v>
      </c>
      <c r="E598">
        <v>5.8</v>
      </c>
      <c r="F598">
        <v>0</v>
      </c>
      <c r="G598">
        <v>0.04</v>
      </c>
      <c r="H598">
        <v>0.15</v>
      </c>
      <c r="I598">
        <v>0.1</v>
      </c>
      <c r="J598">
        <v>0.18</v>
      </c>
      <c r="K598">
        <v>60</v>
      </c>
      <c r="L598" s="5" t="s">
        <v>19</v>
      </c>
    </row>
    <row r="599" spans="1:12" hidden="1" x14ac:dyDescent="0.3">
      <c r="A599" s="5" t="s">
        <v>25</v>
      </c>
      <c r="B599" s="6">
        <v>0.82031444444444446</v>
      </c>
      <c r="C599">
        <v>4.28</v>
      </c>
      <c r="D599">
        <v>0.01</v>
      </c>
      <c r="E599">
        <v>5.8</v>
      </c>
      <c r="F599">
        <v>0</v>
      </c>
      <c r="G599">
        <v>0.04</v>
      </c>
      <c r="H599">
        <v>0.15</v>
      </c>
      <c r="I599">
        <v>0.1</v>
      </c>
      <c r="J599">
        <v>0.18</v>
      </c>
      <c r="K599">
        <v>60</v>
      </c>
      <c r="L599" s="5" t="s">
        <v>19</v>
      </c>
    </row>
    <row r="600" spans="1:12" hidden="1" x14ac:dyDescent="0.3">
      <c r="A600" s="5" t="s">
        <v>25</v>
      </c>
      <c r="B600" s="6">
        <v>0.8203260185185185</v>
      </c>
      <c r="C600">
        <v>4.28</v>
      </c>
      <c r="D600">
        <v>0.01</v>
      </c>
      <c r="E600">
        <v>5.8</v>
      </c>
      <c r="F600">
        <v>0</v>
      </c>
      <c r="G600">
        <v>0.04</v>
      </c>
      <c r="H600">
        <v>0.14000000000000001</v>
      </c>
      <c r="I600">
        <v>0.1</v>
      </c>
      <c r="J600">
        <v>0.18</v>
      </c>
      <c r="K600">
        <v>60</v>
      </c>
      <c r="L600" s="5" t="s">
        <v>19</v>
      </c>
    </row>
    <row r="601" spans="1:12" hidden="1" x14ac:dyDescent="0.3">
      <c r="A601" s="5" t="s">
        <v>25</v>
      </c>
      <c r="B601" s="6">
        <v>0.82033759259259265</v>
      </c>
      <c r="C601">
        <v>4.28</v>
      </c>
      <c r="D601">
        <v>0.01</v>
      </c>
      <c r="E601">
        <v>5.8</v>
      </c>
      <c r="F601">
        <v>0</v>
      </c>
      <c r="G601">
        <v>0.04</v>
      </c>
      <c r="H601">
        <v>0.15</v>
      </c>
      <c r="I601">
        <v>0.1</v>
      </c>
      <c r="J601">
        <v>0.18</v>
      </c>
      <c r="K601">
        <v>60</v>
      </c>
      <c r="L601" s="5" t="s">
        <v>19</v>
      </c>
    </row>
    <row r="602" spans="1:12" hidden="1" x14ac:dyDescent="0.3">
      <c r="A602" s="5" t="s">
        <v>25</v>
      </c>
      <c r="B602" s="6">
        <v>0.82034916666666668</v>
      </c>
      <c r="C602">
        <v>4.28</v>
      </c>
      <c r="D602">
        <v>0.01</v>
      </c>
      <c r="E602">
        <v>5.8</v>
      </c>
      <c r="F602">
        <v>0</v>
      </c>
      <c r="G602">
        <v>0.04</v>
      </c>
      <c r="H602">
        <v>0.14000000000000001</v>
      </c>
      <c r="I602">
        <v>0.1</v>
      </c>
      <c r="J602">
        <v>0.18</v>
      </c>
      <c r="K602">
        <v>59.999000000000002</v>
      </c>
      <c r="L602" s="5" t="s">
        <v>19</v>
      </c>
    </row>
    <row r="603" spans="1:12" hidden="1" x14ac:dyDescent="0.3">
      <c r="A603" s="5" t="s">
        <v>25</v>
      </c>
      <c r="B603" s="6">
        <v>0.82036074074074072</v>
      </c>
      <c r="C603">
        <v>4.2699999999999996</v>
      </c>
      <c r="D603">
        <v>0.01</v>
      </c>
      <c r="E603">
        <v>5.8</v>
      </c>
      <c r="F603">
        <v>0</v>
      </c>
      <c r="G603">
        <v>0.04</v>
      </c>
      <c r="H603">
        <v>0.15</v>
      </c>
      <c r="I603">
        <v>0.1</v>
      </c>
      <c r="J603">
        <v>0.18</v>
      </c>
      <c r="K603">
        <v>59.999000000000002</v>
      </c>
      <c r="L603" s="5" t="s">
        <v>19</v>
      </c>
    </row>
    <row r="604" spans="1:12" hidden="1" x14ac:dyDescent="0.3">
      <c r="A604" s="5" t="s">
        <v>25</v>
      </c>
      <c r="B604" s="6">
        <v>0.82037231481481476</v>
      </c>
      <c r="C604">
        <v>4.2699999999999996</v>
      </c>
      <c r="D604">
        <v>0.01</v>
      </c>
      <c r="E604">
        <v>5.8</v>
      </c>
      <c r="F604">
        <v>0</v>
      </c>
      <c r="G604">
        <v>0.04</v>
      </c>
      <c r="H604">
        <v>0.14000000000000001</v>
      </c>
      <c r="I604">
        <v>0.1</v>
      </c>
      <c r="J604">
        <v>0.18</v>
      </c>
      <c r="K604">
        <v>60</v>
      </c>
      <c r="L604" s="5" t="s">
        <v>19</v>
      </c>
    </row>
    <row r="605" spans="1:12" hidden="1" x14ac:dyDescent="0.3">
      <c r="A605" s="5" t="s">
        <v>25</v>
      </c>
      <c r="B605" s="6">
        <v>0.82038388888888891</v>
      </c>
      <c r="C605">
        <v>4.2699999999999996</v>
      </c>
      <c r="D605">
        <v>0.01</v>
      </c>
      <c r="E605">
        <v>5.8</v>
      </c>
      <c r="F605">
        <v>0</v>
      </c>
      <c r="G605">
        <v>0.04</v>
      </c>
      <c r="H605">
        <v>0.14000000000000001</v>
      </c>
      <c r="I605">
        <v>0.1</v>
      </c>
      <c r="J605">
        <v>0.18</v>
      </c>
      <c r="K605">
        <v>60</v>
      </c>
      <c r="L605" s="5" t="s">
        <v>19</v>
      </c>
    </row>
    <row r="606" spans="1:12" hidden="1" x14ac:dyDescent="0.3">
      <c r="A606" s="5" t="s">
        <v>25</v>
      </c>
      <c r="B606" s="6">
        <v>0.82039546296296295</v>
      </c>
      <c r="C606">
        <v>4.2699999999999996</v>
      </c>
      <c r="D606">
        <v>0.01</v>
      </c>
      <c r="E606">
        <v>5.8</v>
      </c>
      <c r="F606">
        <v>0</v>
      </c>
      <c r="G606">
        <v>0.04</v>
      </c>
      <c r="H606">
        <v>0.14000000000000001</v>
      </c>
      <c r="I606">
        <v>0.1</v>
      </c>
      <c r="J606">
        <v>0.18</v>
      </c>
      <c r="K606">
        <v>60</v>
      </c>
      <c r="L606" s="5" t="s">
        <v>19</v>
      </c>
    </row>
    <row r="607" spans="1:12" hidden="1" x14ac:dyDescent="0.3">
      <c r="A607" s="5" t="s">
        <v>25</v>
      </c>
      <c r="B607" s="6">
        <v>0.82040703703703699</v>
      </c>
      <c r="C607">
        <v>4.2699999999999996</v>
      </c>
      <c r="D607">
        <v>0.01</v>
      </c>
      <c r="E607">
        <v>5.8</v>
      </c>
      <c r="F607">
        <v>0</v>
      </c>
      <c r="G607">
        <v>0.04</v>
      </c>
      <c r="H607">
        <v>0.15</v>
      </c>
      <c r="I607">
        <v>0.1</v>
      </c>
      <c r="J607">
        <v>0.18</v>
      </c>
      <c r="K607">
        <v>60</v>
      </c>
      <c r="L607" s="5" t="s">
        <v>19</v>
      </c>
    </row>
    <row r="608" spans="1:12" hidden="1" x14ac:dyDescent="0.3">
      <c r="A608" s="5" t="s">
        <v>25</v>
      </c>
      <c r="B608" s="6">
        <v>0.82041861111111114</v>
      </c>
      <c r="C608">
        <v>4.29</v>
      </c>
      <c r="D608">
        <v>0.01</v>
      </c>
      <c r="E608">
        <v>5.8</v>
      </c>
      <c r="F608">
        <v>0</v>
      </c>
      <c r="G608">
        <v>0.04</v>
      </c>
      <c r="H608">
        <v>0.15</v>
      </c>
      <c r="I608">
        <v>0.1</v>
      </c>
      <c r="J608">
        <v>0.18</v>
      </c>
      <c r="K608">
        <v>60</v>
      </c>
      <c r="L608" s="5" t="s">
        <v>19</v>
      </c>
    </row>
    <row r="609" spans="1:12" hidden="1" x14ac:dyDescent="0.3">
      <c r="A609" s="5" t="s">
        <v>25</v>
      </c>
      <c r="B609" s="6">
        <v>0.82043018518518518</v>
      </c>
      <c r="C609">
        <v>4.29</v>
      </c>
      <c r="D609">
        <v>0.01</v>
      </c>
      <c r="E609">
        <v>5.8</v>
      </c>
      <c r="F609">
        <v>0</v>
      </c>
      <c r="G609">
        <v>0.04</v>
      </c>
      <c r="H609">
        <v>0.15</v>
      </c>
      <c r="I609">
        <v>0.1</v>
      </c>
      <c r="J609">
        <v>0.18</v>
      </c>
      <c r="K609">
        <v>60.000999999999998</v>
      </c>
      <c r="L609" s="5" t="s">
        <v>19</v>
      </c>
    </row>
    <row r="610" spans="1:12" hidden="1" x14ac:dyDescent="0.3">
      <c r="A610" s="5" t="s">
        <v>25</v>
      </c>
      <c r="B610" s="6">
        <v>0.82044175925925922</v>
      </c>
      <c r="C610">
        <v>4.29</v>
      </c>
      <c r="D610">
        <v>0.01</v>
      </c>
      <c r="E610">
        <v>5.8</v>
      </c>
      <c r="F610">
        <v>0</v>
      </c>
      <c r="G610">
        <v>0.04</v>
      </c>
      <c r="H610">
        <v>0.14000000000000001</v>
      </c>
      <c r="I610">
        <v>0.1</v>
      </c>
      <c r="J610">
        <v>0.18</v>
      </c>
      <c r="K610">
        <v>60.000999999999998</v>
      </c>
      <c r="L610" s="5" t="s">
        <v>19</v>
      </c>
    </row>
    <row r="611" spans="1:12" hidden="1" x14ac:dyDescent="0.3">
      <c r="A611" s="5" t="s">
        <v>25</v>
      </c>
      <c r="B611" s="6">
        <v>0.82045333333333337</v>
      </c>
      <c r="C611">
        <v>4.29</v>
      </c>
      <c r="D611">
        <v>0.01</v>
      </c>
      <c r="E611">
        <v>5.8</v>
      </c>
      <c r="F611">
        <v>0</v>
      </c>
      <c r="G611">
        <v>0.05</v>
      </c>
      <c r="H611">
        <v>0.15</v>
      </c>
      <c r="I611">
        <v>0.1</v>
      </c>
      <c r="J611">
        <v>0.18</v>
      </c>
      <c r="K611">
        <v>60.000999999999998</v>
      </c>
      <c r="L611" s="5" t="s">
        <v>19</v>
      </c>
    </row>
    <row r="612" spans="1:12" hidden="1" x14ac:dyDescent="0.3">
      <c r="A612" s="5" t="s">
        <v>25</v>
      </c>
      <c r="B612" s="6">
        <v>0.82046490740740741</v>
      </c>
      <c r="C612">
        <v>4.3</v>
      </c>
      <c r="D612">
        <v>0.01</v>
      </c>
      <c r="E612">
        <v>6</v>
      </c>
      <c r="F612">
        <v>0</v>
      </c>
      <c r="G612">
        <v>0.05</v>
      </c>
      <c r="H612">
        <v>0.14000000000000001</v>
      </c>
      <c r="I612">
        <v>0.1</v>
      </c>
      <c r="J612">
        <v>0.18</v>
      </c>
      <c r="K612">
        <v>60.002000000000002</v>
      </c>
      <c r="L612" s="5" t="s">
        <v>19</v>
      </c>
    </row>
    <row r="613" spans="1:12" hidden="1" x14ac:dyDescent="0.3">
      <c r="A613" s="5" t="s">
        <v>25</v>
      </c>
      <c r="B613" s="6">
        <v>0.82047648148148145</v>
      </c>
      <c r="C613">
        <v>4.9800000000000004</v>
      </c>
      <c r="D613">
        <v>0.01</v>
      </c>
      <c r="E613">
        <v>6.8</v>
      </c>
      <c r="F613">
        <v>0</v>
      </c>
      <c r="G613">
        <v>0.05</v>
      </c>
      <c r="H613">
        <v>0.15</v>
      </c>
      <c r="I613">
        <v>0.1</v>
      </c>
      <c r="J613">
        <v>0.18</v>
      </c>
      <c r="K613">
        <v>60.002000000000002</v>
      </c>
      <c r="L613" s="5" t="s">
        <v>19</v>
      </c>
    </row>
    <row r="614" spans="1:12" hidden="1" x14ac:dyDescent="0.3">
      <c r="A614" s="5" t="s">
        <v>25</v>
      </c>
      <c r="B614" s="6">
        <v>0.8204880555555556</v>
      </c>
      <c r="C614">
        <v>4.97</v>
      </c>
      <c r="D614">
        <v>0.01</v>
      </c>
      <c r="E614">
        <v>6.8</v>
      </c>
      <c r="F614">
        <v>0</v>
      </c>
      <c r="G614">
        <v>0.04</v>
      </c>
      <c r="H614">
        <v>0.15</v>
      </c>
      <c r="I614">
        <v>0.1</v>
      </c>
      <c r="J614">
        <v>0.18</v>
      </c>
      <c r="K614">
        <v>60.002000000000002</v>
      </c>
      <c r="L614" s="5" t="s">
        <v>19</v>
      </c>
    </row>
    <row r="615" spans="1:12" hidden="1" x14ac:dyDescent="0.3">
      <c r="A615" s="5" t="s">
        <v>25</v>
      </c>
      <c r="B615" s="6">
        <v>0.82049962962962963</v>
      </c>
      <c r="C615">
        <v>4.97</v>
      </c>
      <c r="D615">
        <v>0.01</v>
      </c>
      <c r="E615">
        <v>6.8</v>
      </c>
      <c r="F615">
        <v>0</v>
      </c>
      <c r="G615">
        <v>0.04</v>
      </c>
      <c r="H615">
        <v>0.15</v>
      </c>
      <c r="I615">
        <v>0.1</v>
      </c>
      <c r="J615">
        <v>0.18</v>
      </c>
      <c r="K615">
        <v>60.003</v>
      </c>
      <c r="L615" s="5" t="s">
        <v>19</v>
      </c>
    </row>
    <row r="616" spans="1:12" hidden="1" x14ac:dyDescent="0.3">
      <c r="A616" s="5" t="s">
        <v>25</v>
      </c>
      <c r="B616" s="6">
        <v>0.82051120370370367</v>
      </c>
      <c r="C616">
        <v>4.97</v>
      </c>
      <c r="D616">
        <v>0.01</v>
      </c>
      <c r="E616">
        <v>6.8</v>
      </c>
      <c r="F616">
        <v>0</v>
      </c>
      <c r="G616">
        <v>0.04</v>
      </c>
      <c r="H616">
        <v>0.15</v>
      </c>
      <c r="I616">
        <v>0.1</v>
      </c>
      <c r="J616">
        <v>0.18</v>
      </c>
      <c r="K616">
        <v>60.003</v>
      </c>
      <c r="L616" s="5" t="s">
        <v>19</v>
      </c>
    </row>
    <row r="617" spans="1:12" hidden="1" x14ac:dyDescent="0.3">
      <c r="A617" s="5" t="s">
        <v>25</v>
      </c>
      <c r="B617" s="6">
        <v>0.82052277777777782</v>
      </c>
      <c r="C617">
        <v>4.9800000000000004</v>
      </c>
      <c r="D617">
        <v>0.01</v>
      </c>
      <c r="E617">
        <v>7.1</v>
      </c>
      <c r="F617">
        <v>0</v>
      </c>
      <c r="G617">
        <v>0.05</v>
      </c>
      <c r="H617">
        <v>0.15</v>
      </c>
      <c r="I617">
        <v>0.1</v>
      </c>
      <c r="J617">
        <v>0.18</v>
      </c>
      <c r="K617">
        <v>60.003</v>
      </c>
      <c r="L617" s="5" t="s">
        <v>19</v>
      </c>
    </row>
    <row r="618" spans="1:12" hidden="1" x14ac:dyDescent="0.3">
      <c r="A618" s="5" t="s">
        <v>25</v>
      </c>
      <c r="B618" s="6">
        <v>0.82053435185185186</v>
      </c>
      <c r="C618">
        <v>5.8</v>
      </c>
      <c r="D618">
        <v>0.01</v>
      </c>
      <c r="E618">
        <v>8</v>
      </c>
      <c r="F618">
        <v>0</v>
      </c>
      <c r="G618">
        <v>0.04</v>
      </c>
      <c r="H618">
        <v>0.15</v>
      </c>
      <c r="I618">
        <v>0.1</v>
      </c>
      <c r="J618">
        <v>0.18</v>
      </c>
      <c r="K618">
        <v>60.003999999999998</v>
      </c>
      <c r="L618" s="5" t="s">
        <v>19</v>
      </c>
    </row>
    <row r="619" spans="1:12" hidden="1" x14ac:dyDescent="0.3">
      <c r="A619" s="5" t="s">
        <v>25</v>
      </c>
      <c r="B619" s="6">
        <v>0.8205459259259259</v>
      </c>
      <c r="C619">
        <v>5.55</v>
      </c>
      <c r="D619">
        <v>0.01</v>
      </c>
      <c r="E619">
        <v>8.1999999999999993</v>
      </c>
      <c r="F619">
        <v>0</v>
      </c>
      <c r="G619">
        <v>0.04</v>
      </c>
      <c r="H619">
        <v>0.15</v>
      </c>
      <c r="I619">
        <v>0.1</v>
      </c>
      <c r="J619">
        <v>0.18</v>
      </c>
      <c r="K619">
        <v>60.003999999999998</v>
      </c>
      <c r="L619" s="5" t="s">
        <v>19</v>
      </c>
    </row>
    <row r="620" spans="1:12" hidden="1" x14ac:dyDescent="0.3">
      <c r="A620" s="5" t="s">
        <v>25</v>
      </c>
      <c r="B620" s="6">
        <v>0.82055750000000005</v>
      </c>
      <c r="C620">
        <v>4.83</v>
      </c>
      <c r="D620">
        <v>0.01</v>
      </c>
      <c r="E620">
        <v>7.7</v>
      </c>
      <c r="F620">
        <v>0</v>
      </c>
      <c r="G620">
        <v>0.04</v>
      </c>
      <c r="H620">
        <v>0.15</v>
      </c>
      <c r="I620">
        <v>0.1</v>
      </c>
      <c r="J620">
        <v>0.18</v>
      </c>
      <c r="K620">
        <v>60.006999999999998</v>
      </c>
      <c r="L620" s="5" t="s">
        <v>19</v>
      </c>
    </row>
    <row r="621" spans="1:12" hidden="1" x14ac:dyDescent="0.3">
      <c r="A621" s="5" t="s">
        <v>25</v>
      </c>
      <c r="B621" s="6">
        <v>0.82056907407407409</v>
      </c>
      <c r="C621">
        <v>4.68</v>
      </c>
      <c r="D621">
        <v>0.01</v>
      </c>
      <c r="E621">
        <v>7.6</v>
      </c>
      <c r="F621">
        <v>0</v>
      </c>
      <c r="G621">
        <v>0.04</v>
      </c>
      <c r="H621">
        <v>0.15</v>
      </c>
      <c r="I621">
        <v>0.1</v>
      </c>
      <c r="J621">
        <v>0.18</v>
      </c>
      <c r="K621">
        <v>60.008000000000003</v>
      </c>
      <c r="L621" s="5" t="s">
        <v>19</v>
      </c>
    </row>
    <row r="622" spans="1:12" hidden="1" x14ac:dyDescent="0.3">
      <c r="A622" s="5" t="s">
        <v>25</v>
      </c>
      <c r="B622" s="6">
        <v>0.82058064814814813</v>
      </c>
      <c r="C622">
        <v>4.99</v>
      </c>
      <c r="D622">
        <v>0.01</v>
      </c>
      <c r="E622">
        <v>8.1</v>
      </c>
      <c r="F622">
        <v>0</v>
      </c>
      <c r="G622">
        <v>0.04</v>
      </c>
      <c r="H622">
        <v>0.15</v>
      </c>
      <c r="I622">
        <v>0.1</v>
      </c>
      <c r="J622">
        <v>0.18</v>
      </c>
      <c r="K622">
        <v>60.008000000000003</v>
      </c>
      <c r="L622" s="5" t="s">
        <v>19</v>
      </c>
    </row>
    <row r="623" spans="1:12" hidden="1" x14ac:dyDescent="0.3">
      <c r="A623" s="5" t="s">
        <v>25</v>
      </c>
      <c r="B623" s="6">
        <v>0.82059222222222217</v>
      </c>
      <c r="C623">
        <v>4.66</v>
      </c>
      <c r="D623">
        <v>0.01</v>
      </c>
      <c r="E623">
        <v>7.6</v>
      </c>
      <c r="F623">
        <v>0</v>
      </c>
      <c r="G623">
        <v>0.04</v>
      </c>
      <c r="H623">
        <v>0.15</v>
      </c>
      <c r="I623">
        <v>0.1</v>
      </c>
      <c r="J623">
        <v>0.18</v>
      </c>
      <c r="K623">
        <v>60.009</v>
      </c>
      <c r="L623" s="5" t="s">
        <v>19</v>
      </c>
    </row>
    <row r="624" spans="1:12" hidden="1" x14ac:dyDescent="0.3">
      <c r="A624" s="5" t="s">
        <v>25</v>
      </c>
      <c r="B624" s="6">
        <v>0.82060379629629632</v>
      </c>
      <c r="C624">
        <v>4.83</v>
      </c>
      <c r="D624">
        <v>0.01</v>
      </c>
      <c r="E624">
        <v>7.8</v>
      </c>
      <c r="F624">
        <v>0</v>
      </c>
      <c r="G624">
        <v>0.05</v>
      </c>
      <c r="H624">
        <v>0.15</v>
      </c>
      <c r="I624">
        <v>0.1</v>
      </c>
      <c r="J624">
        <v>0.18</v>
      </c>
      <c r="K624">
        <v>60.009</v>
      </c>
      <c r="L624" s="5" t="s">
        <v>19</v>
      </c>
    </row>
    <row r="625" spans="1:12" hidden="1" x14ac:dyDescent="0.3">
      <c r="A625" s="5" t="s">
        <v>25</v>
      </c>
      <c r="B625" s="6">
        <v>0.82061537037037036</v>
      </c>
      <c r="C625">
        <v>4.78</v>
      </c>
      <c r="D625">
        <v>0.01</v>
      </c>
      <c r="E625">
        <v>7.9</v>
      </c>
      <c r="F625">
        <v>0</v>
      </c>
      <c r="G625">
        <v>0.04</v>
      </c>
      <c r="H625">
        <v>0.15</v>
      </c>
      <c r="I625">
        <v>0.1</v>
      </c>
      <c r="J625">
        <v>0.18</v>
      </c>
      <c r="K625">
        <v>60.009</v>
      </c>
      <c r="L625" s="5" t="s">
        <v>19</v>
      </c>
    </row>
    <row r="626" spans="1:12" hidden="1" x14ac:dyDescent="0.3">
      <c r="A626" s="5" t="s">
        <v>25</v>
      </c>
      <c r="B626" s="6">
        <v>0.8206269444444444</v>
      </c>
      <c r="C626">
        <v>4.75</v>
      </c>
      <c r="D626">
        <v>0.01</v>
      </c>
      <c r="E626">
        <v>7.8</v>
      </c>
      <c r="F626">
        <v>0</v>
      </c>
      <c r="G626">
        <v>0.04</v>
      </c>
      <c r="H626">
        <v>0.15</v>
      </c>
      <c r="I626">
        <v>0.1</v>
      </c>
      <c r="J626">
        <v>0.18</v>
      </c>
      <c r="K626">
        <v>60.01</v>
      </c>
      <c r="L626" s="5" t="s">
        <v>19</v>
      </c>
    </row>
    <row r="627" spans="1:12" hidden="1" x14ac:dyDescent="0.3">
      <c r="A627" s="5" t="s">
        <v>25</v>
      </c>
      <c r="B627" s="6">
        <v>0.82063851851851854</v>
      </c>
      <c r="C627">
        <v>5.07</v>
      </c>
      <c r="D627">
        <v>0.01</v>
      </c>
      <c r="E627">
        <v>8.1999999999999993</v>
      </c>
      <c r="F627">
        <v>0</v>
      </c>
      <c r="G627">
        <v>0.04</v>
      </c>
      <c r="H627">
        <v>0.15</v>
      </c>
      <c r="I627">
        <v>0.1</v>
      </c>
      <c r="J627">
        <v>0.18</v>
      </c>
      <c r="K627">
        <v>60.009</v>
      </c>
      <c r="L627" s="5" t="s">
        <v>19</v>
      </c>
    </row>
    <row r="628" spans="1:12" hidden="1" x14ac:dyDescent="0.3">
      <c r="A628" s="5" t="s">
        <v>25</v>
      </c>
      <c r="B628" s="6">
        <v>0.82065009259259258</v>
      </c>
      <c r="C628">
        <v>4.66</v>
      </c>
      <c r="D628">
        <v>0.01</v>
      </c>
      <c r="E628">
        <v>7.6</v>
      </c>
      <c r="F628">
        <v>0</v>
      </c>
      <c r="G628">
        <v>0.04</v>
      </c>
      <c r="H628">
        <v>0.14000000000000001</v>
      </c>
      <c r="I628">
        <v>0.1</v>
      </c>
      <c r="J628">
        <v>0.18</v>
      </c>
      <c r="K628">
        <v>60.009</v>
      </c>
      <c r="L628" s="5" t="s">
        <v>19</v>
      </c>
    </row>
    <row r="629" spans="1:12" hidden="1" x14ac:dyDescent="0.3">
      <c r="A629" s="5" t="s">
        <v>25</v>
      </c>
      <c r="B629" s="6">
        <v>0.82066166666666662</v>
      </c>
      <c r="C629">
        <v>4.9400000000000004</v>
      </c>
      <c r="D629">
        <v>0.01</v>
      </c>
      <c r="E629">
        <v>8</v>
      </c>
      <c r="F629">
        <v>0</v>
      </c>
      <c r="G629">
        <v>0.04</v>
      </c>
      <c r="H629">
        <v>0.15</v>
      </c>
      <c r="I629">
        <v>0.1</v>
      </c>
      <c r="J629">
        <v>0.18</v>
      </c>
      <c r="K629">
        <v>60.008000000000003</v>
      </c>
      <c r="L629" s="5" t="s">
        <v>19</v>
      </c>
    </row>
    <row r="630" spans="1:12" hidden="1" x14ac:dyDescent="0.3">
      <c r="A630" s="5" t="s">
        <v>25</v>
      </c>
      <c r="B630" s="6">
        <v>0.82067324074074077</v>
      </c>
      <c r="C630">
        <v>4.6900000000000004</v>
      </c>
      <c r="D630">
        <v>0.01</v>
      </c>
      <c r="E630">
        <v>7.6</v>
      </c>
      <c r="F630">
        <v>0</v>
      </c>
      <c r="G630">
        <v>0.04</v>
      </c>
      <c r="H630">
        <v>0.14000000000000001</v>
      </c>
      <c r="I630">
        <v>0.1</v>
      </c>
      <c r="J630">
        <v>0.18</v>
      </c>
      <c r="K630">
        <v>60.006</v>
      </c>
      <c r="L630" s="5" t="s">
        <v>19</v>
      </c>
    </row>
    <row r="631" spans="1:12" hidden="1" x14ac:dyDescent="0.3">
      <c r="A631" s="5" t="s">
        <v>25</v>
      </c>
      <c r="B631" s="6">
        <v>0.82068481481481481</v>
      </c>
      <c r="C631">
        <v>4.87</v>
      </c>
      <c r="D631">
        <v>0.01</v>
      </c>
      <c r="E631">
        <v>7.8</v>
      </c>
      <c r="F631">
        <v>0</v>
      </c>
      <c r="G631">
        <v>0.04</v>
      </c>
      <c r="H631">
        <v>0.14000000000000001</v>
      </c>
      <c r="I631">
        <v>0.1</v>
      </c>
      <c r="J631">
        <v>0.18</v>
      </c>
      <c r="K631">
        <v>60.005000000000003</v>
      </c>
      <c r="L631" s="5" t="s">
        <v>19</v>
      </c>
    </row>
    <row r="632" spans="1:12" hidden="1" x14ac:dyDescent="0.3">
      <c r="A632" s="5" t="s">
        <v>25</v>
      </c>
      <c r="B632" s="6">
        <v>0.82069638888888885</v>
      </c>
      <c r="C632">
        <v>4.87</v>
      </c>
      <c r="D632">
        <v>0.01</v>
      </c>
      <c r="E632">
        <v>8</v>
      </c>
      <c r="F632">
        <v>0</v>
      </c>
      <c r="G632">
        <v>0.04</v>
      </c>
      <c r="H632">
        <v>0.14000000000000001</v>
      </c>
      <c r="I632">
        <v>0.1</v>
      </c>
      <c r="J632">
        <v>0.18</v>
      </c>
      <c r="K632">
        <v>60.006</v>
      </c>
      <c r="L632" s="5" t="s">
        <v>19</v>
      </c>
    </row>
    <row r="633" spans="1:12" hidden="1" x14ac:dyDescent="0.3">
      <c r="A633" s="5" t="s">
        <v>25</v>
      </c>
      <c r="B633" s="6">
        <v>0.820707962962963</v>
      </c>
      <c r="C633">
        <v>4.7300000000000004</v>
      </c>
      <c r="D633">
        <v>0.01</v>
      </c>
      <c r="E633">
        <v>7.8</v>
      </c>
      <c r="F633">
        <v>0</v>
      </c>
      <c r="G633">
        <v>0.04</v>
      </c>
      <c r="H633">
        <v>0.14000000000000001</v>
      </c>
      <c r="I633">
        <v>0.1</v>
      </c>
      <c r="J633">
        <v>0.18</v>
      </c>
      <c r="K633">
        <v>60.006</v>
      </c>
      <c r="L633" s="5" t="s">
        <v>19</v>
      </c>
    </row>
    <row r="634" spans="1:12" hidden="1" x14ac:dyDescent="0.3">
      <c r="A634" s="5" t="s">
        <v>25</v>
      </c>
      <c r="B634" s="6">
        <v>0.82071953703703704</v>
      </c>
      <c r="C634">
        <v>5.12</v>
      </c>
      <c r="D634">
        <v>0.01</v>
      </c>
      <c r="E634">
        <v>8.1</v>
      </c>
      <c r="F634">
        <v>0</v>
      </c>
      <c r="G634">
        <v>0.04</v>
      </c>
      <c r="H634">
        <v>0.15</v>
      </c>
      <c r="I634">
        <v>0.1</v>
      </c>
      <c r="J634">
        <v>0.18</v>
      </c>
      <c r="K634">
        <v>60.005000000000003</v>
      </c>
      <c r="L634" s="5" t="s">
        <v>19</v>
      </c>
    </row>
    <row r="635" spans="1:12" hidden="1" x14ac:dyDescent="0.3">
      <c r="A635" s="5" t="s">
        <v>25</v>
      </c>
      <c r="B635" s="6">
        <v>0.82073111111111108</v>
      </c>
      <c r="C635">
        <v>4.6500000000000004</v>
      </c>
      <c r="D635">
        <v>0.01</v>
      </c>
      <c r="E635">
        <v>7.7</v>
      </c>
      <c r="F635">
        <v>0</v>
      </c>
      <c r="G635">
        <v>0.05</v>
      </c>
      <c r="H635">
        <v>0.15</v>
      </c>
      <c r="I635">
        <v>0.1</v>
      </c>
      <c r="J635">
        <v>0.18</v>
      </c>
      <c r="K635">
        <v>60.006</v>
      </c>
      <c r="L635" s="5" t="s">
        <v>19</v>
      </c>
    </row>
    <row r="636" spans="1:12" hidden="1" x14ac:dyDescent="0.3">
      <c r="A636" s="5" t="s">
        <v>25</v>
      </c>
      <c r="B636" s="6">
        <v>0.82074268518518523</v>
      </c>
      <c r="C636">
        <v>4.9400000000000004</v>
      </c>
      <c r="D636">
        <v>0.01</v>
      </c>
      <c r="E636">
        <v>7.8</v>
      </c>
      <c r="F636">
        <v>0</v>
      </c>
      <c r="G636">
        <v>0.05</v>
      </c>
      <c r="H636">
        <v>0.15</v>
      </c>
      <c r="I636">
        <v>0.1</v>
      </c>
      <c r="J636">
        <v>0.18</v>
      </c>
      <c r="K636">
        <v>60.005000000000003</v>
      </c>
      <c r="L636" s="5" t="s">
        <v>19</v>
      </c>
    </row>
    <row r="637" spans="1:12" hidden="1" x14ac:dyDescent="0.3">
      <c r="A637" s="5" t="s">
        <v>25</v>
      </c>
      <c r="B637" s="6">
        <v>0.82075425925925927</v>
      </c>
      <c r="C637">
        <v>4.75</v>
      </c>
      <c r="D637">
        <v>0.01</v>
      </c>
      <c r="E637">
        <v>7.6</v>
      </c>
      <c r="F637">
        <v>0</v>
      </c>
      <c r="G637">
        <v>0.05</v>
      </c>
      <c r="H637">
        <v>0.15</v>
      </c>
      <c r="I637">
        <v>0.1</v>
      </c>
      <c r="J637">
        <v>0.18</v>
      </c>
      <c r="K637">
        <v>60.006</v>
      </c>
      <c r="L637" s="5" t="s">
        <v>19</v>
      </c>
    </row>
    <row r="638" spans="1:12" hidden="1" x14ac:dyDescent="0.3">
      <c r="A638" s="5" t="s">
        <v>25</v>
      </c>
      <c r="B638" s="6">
        <v>0.82076583333333331</v>
      </c>
      <c r="C638">
        <v>4.7300000000000004</v>
      </c>
      <c r="D638">
        <v>0.01</v>
      </c>
      <c r="E638">
        <v>7.6</v>
      </c>
      <c r="F638">
        <v>0</v>
      </c>
      <c r="G638">
        <v>0.05</v>
      </c>
      <c r="H638">
        <v>0.14000000000000001</v>
      </c>
      <c r="I638">
        <v>0.1</v>
      </c>
      <c r="J638">
        <v>0.18</v>
      </c>
      <c r="K638">
        <v>60.006999999999998</v>
      </c>
      <c r="L638" s="5" t="s">
        <v>19</v>
      </c>
    </row>
    <row r="639" spans="1:12" hidden="1" x14ac:dyDescent="0.3">
      <c r="A639" s="5" t="s">
        <v>25</v>
      </c>
      <c r="B639" s="6">
        <v>0.82077740740740746</v>
      </c>
      <c r="C639">
        <v>4.92</v>
      </c>
      <c r="D639">
        <v>0.01</v>
      </c>
      <c r="E639">
        <v>8</v>
      </c>
      <c r="F639">
        <v>0</v>
      </c>
      <c r="G639">
        <v>0.05</v>
      </c>
      <c r="H639">
        <v>0.14000000000000001</v>
      </c>
      <c r="I639">
        <v>0.1</v>
      </c>
      <c r="J639">
        <v>0.18</v>
      </c>
      <c r="K639">
        <v>60.006999999999998</v>
      </c>
      <c r="L639" s="5" t="s">
        <v>19</v>
      </c>
    </row>
    <row r="640" spans="1:12" hidden="1" x14ac:dyDescent="0.3">
      <c r="A640" s="5" t="s">
        <v>25</v>
      </c>
      <c r="B640" s="6">
        <v>0.82078898148148149</v>
      </c>
      <c r="C640">
        <v>4.84</v>
      </c>
      <c r="D640">
        <v>0.01</v>
      </c>
      <c r="E640">
        <v>7.8</v>
      </c>
      <c r="F640">
        <v>0</v>
      </c>
      <c r="G640">
        <v>0.05</v>
      </c>
      <c r="H640">
        <v>0.15</v>
      </c>
      <c r="I640">
        <v>0.1</v>
      </c>
      <c r="J640">
        <v>0.18</v>
      </c>
      <c r="K640">
        <v>60.006999999999998</v>
      </c>
      <c r="L640" s="5" t="s">
        <v>19</v>
      </c>
    </row>
    <row r="641" spans="1:12" hidden="1" x14ac:dyDescent="0.3">
      <c r="A641" s="5" t="s">
        <v>25</v>
      </c>
      <c r="B641" s="6">
        <v>0.82080055555555553</v>
      </c>
      <c r="C641">
        <v>5.16</v>
      </c>
      <c r="D641">
        <v>0.01</v>
      </c>
      <c r="E641">
        <v>8.1999999999999993</v>
      </c>
      <c r="F641">
        <v>0</v>
      </c>
      <c r="G641">
        <v>0.05</v>
      </c>
      <c r="H641">
        <v>0.15</v>
      </c>
      <c r="I641">
        <v>0.1</v>
      </c>
      <c r="J641">
        <v>0.18</v>
      </c>
      <c r="K641">
        <v>60.006999999999998</v>
      </c>
      <c r="L641" s="5" t="s">
        <v>19</v>
      </c>
    </row>
    <row r="642" spans="1:12" hidden="1" x14ac:dyDescent="0.3">
      <c r="A642" s="5" t="s">
        <v>25</v>
      </c>
      <c r="B642" s="6">
        <v>0.82081212962962968</v>
      </c>
      <c r="C642">
        <v>4.58</v>
      </c>
      <c r="D642">
        <v>0.01</v>
      </c>
      <c r="E642">
        <v>7.4</v>
      </c>
      <c r="F642">
        <v>0</v>
      </c>
      <c r="G642">
        <v>0.05</v>
      </c>
      <c r="H642">
        <v>0.15</v>
      </c>
      <c r="I642">
        <v>0.1</v>
      </c>
      <c r="J642">
        <v>0.18</v>
      </c>
      <c r="K642">
        <v>60.009</v>
      </c>
      <c r="L642" s="5" t="s">
        <v>19</v>
      </c>
    </row>
    <row r="643" spans="1:12" hidden="1" x14ac:dyDescent="0.3">
      <c r="A643" s="5" t="s">
        <v>25</v>
      </c>
      <c r="B643" s="6">
        <v>0.82082370370370372</v>
      </c>
      <c r="C643">
        <v>4.88</v>
      </c>
      <c r="D643">
        <v>0.01</v>
      </c>
      <c r="E643">
        <v>7.8</v>
      </c>
      <c r="F643">
        <v>0</v>
      </c>
      <c r="G643">
        <v>0.05</v>
      </c>
      <c r="H643">
        <v>0.15</v>
      </c>
      <c r="I643">
        <v>0.1</v>
      </c>
      <c r="J643">
        <v>0.18</v>
      </c>
      <c r="K643">
        <v>60.008000000000003</v>
      </c>
      <c r="L643" s="5" t="s">
        <v>19</v>
      </c>
    </row>
    <row r="644" spans="1:12" hidden="1" x14ac:dyDescent="0.3">
      <c r="A644" s="5" t="s">
        <v>25</v>
      </c>
      <c r="B644" s="6">
        <v>0.82083527777777776</v>
      </c>
      <c r="C644">
        <v>4.72</v>
      </c>
      <c r="D644">
        <v>0.01</v>
      </c>
      <c r="E644">
        <v>7.6</v>
      </c>
      <c r="F644">
        <v>0</v>
      </c>
      <c r="G644">
        <v>0.05</v>
      </c>
      <c r="H644">
        <v>0.15</v>
      </c>
      <c r="I644">
        <v>0.1</v>
      </c>
      <c r="J644">
        <v>0.18</v>
      </c>
      <c r="K644">
        <v>60.009</v>
      </c>
      <c r="L644" s="5" t="s">
        <v>19</v>
      </c>
    </row>
    <row r="645" spans="1:12" hidden="1" x14ac:dyDescent="0.3">
      <c r="A645" s="5" t="s">
        <v>25</v>
      </c>
      <c r="B645" s="6">
        <v>0.8208468518518518</v>
      </c>
      <c r="C645">
        <v>4.88</v>
      </c>
      <c r="D645">
        <v>0.01</v>
      </c>
      <c r="E645">
        <v>7.8</v>
      </c>
      <c r="F645">
        <v>0</v>
      </c>
      <c r="G645">
        <v>0.05</v>
      </c>
      <c r="H645">
        <v>0.15</v>
      </c>
      <c r="I645">
        <v>0.1</v>
      </c>
      <c r="J645">
        <v>0.18</v>
      </c>
      <c r="K645">
        <v>60.008000000000003</v>
      </c>
      <c r="L645" s="5" t="s">
        <v>19</v>
      </c>
    </row>
    <row r="646" spans="1:12" hidden="1" x14ac:dyDescent="0.3">
      <c r="A646" s="5" t="s">
        <v>25</v>
      </c>
      <c r="B646" s="6">
        <v>0.82085842592592595</v>
      </c>
      <c r="C646">
        <v>4.92</v>
      </c>
      <c r="D646">
        <v>0.01</v>
      </c>
      <c r="E646">
        <v>8</v>
      </c>
      <c r="F646">
        <v>0</v>
      </c>
      <c r="G646">
        <v>0.05</v>
      </c>
      <c r="H646">
        <v>0.15</v>
      </c>
      <c r="I646">
        <v>0.1</v>
      </c>
      <c r="J646">
        <v>0.18</v>
      </c>
      <c r="K646">
        <v>60.008000000000003</v>
      </c>
      <c r="L646" s="5" t="s">
        <v>19</v>
      </c>
    </row>
    <row r="647" spans="1:12" hidden="1" x14ac:dyDescent="0.3">
      <c r="A647" s="5" t="s">
        <v>25</v>
      </c>
      <c r="B647" s="6">
        <v>0.82086999999999999</v>
      </c>
      <c r="C647">
        <v>4.76</v>
      </c>
      <c r="D647">
        <v>0.01</v>
      </c>
      <c r="E647">
        <v>7.8</v>
      </c>
      <c r="F647">
        <v>0</v>
      </c>
      <c r="G647">
        <v>0.05</v>
      </c>
      <c r="H647">
        <v>0.15</v>
      </c>
      <c r="I647">
        <v>0.1</v>
      </c>
      <c r="J647">
        <v>0.18</v>
      </c>
      <c r="K647">
        <v>60.008000000000003</v>
      </c>
      <c r="L647" s="5" t="s">
        <v>19</v>
      </c>
    </row>
    <row r="648" spans="1:12" hidden="1" x14ac:dyDescent="0.3">
      <c r="A648" s="5" t="s">
        <v>25</v>
      </c>
      <c r="B648" s="6">
        <v>0.82088157407407403</v>
      </c>
      <c r="C648">
        <v>5.15</v>
      </c>
      <c r="D648">
        <v>0.01</v>
      </c>
      <c r="E648">
        <v>8.1</v>
      </c>
      <c r="F648">
        <v>0</v>
      </c>
      <c r="G648">
        <v>0.05</v>
      </c>
      <c r="H648">
        <v>0.15</v>
      </c>
      <c r="I648">
        <v>0.1</v>
      </c>
      <c r="J648">
        <v>0.18</v>
      </c>
      <c r="K648">
        <v>60.006</v>
      </c>
      <c r="L648" s="5" t="s">
        <v>19</v>
      </c>
    </row>
    <row r="649" spans="1:12" hidden="1" x14ac:dyDescent="0.3">
      <c r="A649" s="5" t="s">
        <v>25</v>
      </c>
      <c r="B649" s="6">
        <v>0.82089314814814818</v>
      </c>
      <c r="C649">
        <v>4.8</v>
      </c>
      <c r="D649">
        <v>0.01</v>
      </c>
      <c r="E649">
        <v>7.6</v>
      </c>
      <c r="F649">
        <v>0</v>
      </c>
      <c r="G649">
        <v>0.05</v>
      </c>
      <c r="H649">
        <v>0.14000000000000001</v>
      </c>
      <c r="I649">
        <v>0.1</v>
      </c>
      <c r="J649">
        <v>0.18</v>
      </c>
      <c r="K649">
        <v>60.006999999999998</v>
      </c>
      <c r="L649" s="5" t="s">
        <v>19</v>
      </c>
    </row>
    <row r="650" spans="1:12" hidden="1" x14ac:dyDescent="0.3">
      <c r="A650" s="5" t="s">
        <v>25</v>
      </c>
      <c r="B650" s="6">
        <v>0.82090472222222222</v>
      </c>
      <c r="C650">
        <v>4.8499999999999996</v>
      </c>
      <c r="D650">
        <v>0.01</v>
      </c>
      <c r="E650">
        <v>7.6</v>
      </c>
      <c r="F650">
        <v>0</v>
      </c>
      <c r="G650">
        <v>0.05</v>
      </c>
      <c r="H650">
        <v>0.14000000000000001</v>
      </c>
      <c r="I650">
        <v>0.1</v>
      </c>
      <c r="J650">
        <v>0.18</v>
      </c>
      <c r="K650">
        <v>60.006</v>
      </c>
      <c r="L650" s="5" t="s">
        <v>19</v>
      </c>
    </row>
    <row r="651" spans="1:12" hidden="1" x14ac:dyDescent="0.3">
      <c r="A651" s="5" t="s">
        <v>25</v>
      </c>
      <c r="B651" s="6">
        <v>0.82091629629629626</v>
      </c>
      <c r="C651">
        <v>4.84</v>
      </c>
      <c r="D651">
        <v>0.01</v>
      </c>
      <c r="E651">
        <v>7.8</v>
      </c>
      <c r="F651">
        <v>0</v>
      </c>
      <c r="G651">
        <v>0.05</v>
      </c>
      <c r="H651">
        <v>0.14000000000000001</v>
      </c>
      <c r="I651">
        <v>0.1</v>
      </c>
      <c r="J651">
        <v>0.18</v>
      </c>
      <c r="K651">
        <v>60.006</v>
      </c>
      <c r="L651" s="5" t="s">
        <v>19</v>
      </c>
    </row>
    <row r="652" spans="1:12" hidden="1" x14ac:dyDescent="0.3">
      <c r="A652" s="5" t="s">
        <v>25</v>
      </c>
      <c r="B652" s="6">
        <v>0.8209278703703704</v>
      </c>
      <c r="C652">
        <v>4.7699999999999996</v>
      </c>
      <c r="D652">
        <v>0.01</v>
      </c>
      <c r="E652">
        <v>7.8</v>
      </c>
      <c r="F652">
        <v>0</v>
      </c>
      <c r="G652">
        <v>0.05</v>
      </c>
      <c r="H652">
        <v>0.15</v>
      </c>
      <c r="I652">
        <v>0.1</v>
      </c>
      <c r="J652">
        <v>0.18</v>
      </c>
      <c r="K652">
        <v>60.005000000000003</v>
      </c>
      <c r="L652" s="5" t="s">
        <v>19</v>
      </c>
    </row>
    <row r="653" spans="1:12" hidden="1" x14ac:dyDescent="0.3">
      <c r="A653" s="5" t="s">
        <v>25</v>
      </c>
      <c r="B653" s="6">
        <v>0.82093944444444444</v>
      </c>
      <c r="C653">
        <v>5.17</v>
      </c>
      <c r="D653">
        <v>0.01</v>
      </c>
      <c r="E653">
        <v>8.1999999999999993</v>
      </c>
      <c r="F653">
        <v>0</v>
      </c>
      <c r="G653">
        <v>0.05</v>
      </c>
      <c r="H653">
        <v>0.15</v>
      </c>
      <c r="I653">
        <v>0.1</v>
      </c>
      <c r="J653">
        <v>0.18</v>
      </c>
      <c r="K653">
        <v>60.003999999999998</v>
      </c>
      <c r="L653" s="5" t="s">
        <v>19</v>
      </c>
    </row>
    <row r="654" spans="1:12" hidden="1" x14ac:dyDescent="0.3">
      <c r="A654" s="5" t="s">
        <v>25</v>
      </c>
      <c r="B654" s="6">
        <v>0.82095101851851848</v>
      </c>
      <c r="C654">
        <v>4.79</v>
      </c>
      <c r="D654">
        <v>0.01</v>
      </c>
      <c r="E654">
        <v>7.8</v>
      </c>
      <c r="F654">
        <v>0</v>
      </c>
      <c r="G654">
        <v>0.04</v>
      </c>
      <c r="H654">
        <v>0.15</v>
      </c>
      <c r="I654">
        <v>0.1</v>
      </c>
      <c r="J654">
        <v>0.18</v>
      </c>
      <c r="K654">
        <v>60.002000000000002</v>
      </c>
      <c r="L654" s="5" t="s">
        <v>19</v>
      </c>
    </row>
    <row r="655" spans="1:12" hidden="1" x14ac:dyDescent="0.3">
      <c r="A655" s="5" t="s">
        <v>25</v>
      </c>
      <c r="B655" s="6">
        <v>0.82096259259259263</v>
      </c>
      <c r="C655">
        <v>5.0599999999999996</v>
      </c>
      <c r="D655">
        <v>0.01</v>
      </c>
      <c r="E655">
        <v>8</v>
      </c>
      <c r="F655">
        <v>0</v>
      </c>
      <c r="G655">
        <v>0.04</v>
      </c>
      <c r="H655">
        <v>0.15</v>
      </c>
      <c r="I655">
        <v>0.1</v>
      </c>
      <c r="J655">
        <v>0.18</v>
      </c>
      <c r="K655">
        <v>60.000999999999998</v>
      </c>
      <c r="L655" s="5" t="s">
        <v>19</v>
      </c>
    </row>
    <row r="656" spans="1:12" hidden="1" x14ac:dyDescent="0.3">
      <c r="A656" s="5" t="s">
        <v>25</v>
      </c>
      <c r="B656" s="6">
        <v>0.82097416666666667</v>
      </c>
      <c r="C656">
        <v>4.91</v>
      </c>
      <c r="D656">
        <v>0.01</v>
      </c>
      <c r="E656">
        <v>7.8</v>
      </c>
      <c r="F656">
        <v>0</v>
      </c>
      <c r="G656">
        <v>0.04</v>
      </c>
      <c r="H656">
        <v>0.14000000000000001</v>
      </c>
      <c r="I656">
        <v>0.1</v>
      </c>
      <c r="J656">
        <v>0.18</v>
      </c>
      <c r="K656">
        <v>60.000999999999998</v>
      </c>
      <c r="L656" s="5" t="s">
        <v>19</v>
      </c>
    </row>
    <row r="657" spans="1:12" hidden="1" x14ac:dyDescent="0.3">
      <c r="A657" s="5" t="s">
        <v>25</v>
      </c>
      <c r="B657" s="6">
        <v>0.82098574074074071</v>
      </c>
      <c r="C657">
        <v>4.68</v>
      </c>
      <c r="D657">
        <v>0.01</v>
      </c>
      <c r="E657">
        <v>7.5</v>
      </c>
      <c r="F657">
        <v>0</v>
      </c>
      <c r="G657">
        <v>0.05</v>
      </c>
      <c r="H657">
        <v>0.14000000000000001</v>
      </c>
      <c r="I657">
        <v>0.1</v>
      </c>
      <c r="J657">
        <v>0.18</v>
      </c>
      <c r="K657">
        <v>60.000999999999998</v>
      </c>
      <c r="L657" s="5" t="s">
        <v>19</v>
      </c>
    </row>
    <row r="658" spans="1:12" hidden="1" x14ac:dyDescent="0.3">
      <c r="A658" s="5" t="s">
        <v>25</v>
      </c>
      <c r="B658" s="6">
        <v>0.82099731481481486</v>
      </c>
      <c r="C658">
        <v>4.8099999999999996</v>
      </c>
      <c r="D658">
        <v>0.01</v>
      </c>
      <c r="E658">
        <v>7.9</v>
      </c>
      <c r="F658">
        <v>0</v>
      </c>
      <c r="G658">
        <v>0.04</v>
      </c>
      <c r="H658">
        <v>0.15</v>
      </c>
      <c r="I658">
        <v>0.1</v>
      </c>
      <c r="J658">
        <v>0.18</v>
      </c>
      <c r="K658">
        <v>60.002000000000002</v>
      </c>
      <c r="L658" s="5" t="s">
        <v>19</v>
      </c>
    </row>
    <row r="659" spans="1:12" hidden="1" x14ac:dyDescent="0.3">
      <c r="A659" s="5" t="s">
        <v>25</v>
      </c>
      <c r="B659" s="6">
        <v>0.8210088888888889</v>
      </c>
      <c r="C659">
        <v>4.79</v>
      </c>
      <c r="D659">
        <v>0.01</v>
      </c>
      <c r="E659">
        <v>7.8</v>
      </c>
      <c r="F659">
        <v>0</v>
      </c>
      <c r="G659">
        <v>0.04</v>
      </c>
      <c r="H659">
        <v>0.14000000000000001</v>
      </c>
      <c r="I659">
        <v>0.1</v>
      </c>
      <c r="J659">
        <v>0.18</v>
      </c>
      <c r="K659">
        <v>60</v>
      </c>
      <c r="L659" s="5" t="s">
        <v>19</v>
      </c>
    </row>
    <row r="660" spans="1:12" hidden="1" x14ac:dyDescent="0.3">
      <c r="A660" s="5" t="s">
        <v>25</v>
      </c>
      <c r="B660" s="6">
        <v>0.82102046296296294</v>
      </c>
      <c r="C660">
        <v>5.0999999999999996</v>
      </c>
      <c r="D660">
        <v>0.01</v>
      </c>
      <c r="E660">
        <v>8.1</v>
      </c>
      <c r="F660">
        <v>0</v>
      </c>
      <c r="G660">
        <v>0.04</v>
      </c>
      <c r="H660">
        <v>0.15</v>
      </c>
      <c r="I660">
        <v>0.1</v>
      </c>
      <c r="J660">
        <v>0.18</v>
      </c>
      <c r="K660">
        <v>60.000999999999998</v>
      </c>
      <c r="L660" s="5" t="s">
        <v>19</v>
      </c>
    </row>
    <row r="661" spans="1:12" hidden="1" x14ac:dyDescent="0.3">
      <c r="A661" s="5" t="s">
        <v>25</v>
      </c>
      <c r="B661" s="6">
        <v>0.82103203703703709</v>
      </c>
      <c r="C661">
        <v>4.74</v>
      </c>
      <c r="D661">
        <v>0.01</v>
      </c>
      <c r="E661">
        <v>7.9</v>
      </c>
      <c r="F661">
        <v>0</v>
      </c>
      <c r="G661">
        <v>0.04</v>
      </c>
      <c r="H661">
        <v>0.15</v>
      </c>
      <c r="I661">
        <v>0.1</v>
      </c>
      <c r="J661">
        <v>0.18</v>
      </c>
      <c r="K661">
        <v>60</v>
      </c>
      <c r="L661" s="5" t="s">
        <v>19</v>
      </c>
    </row>
    <row r="662" spans="1:12" hidden="1" x14ac:dyDescent="0.3">
      <c r="A662" s="5" t="s">
        <v>25</v>
      </c>
      <c r="B662" s="6">
        <v>0.82104361111111113</v>
      </c>
      <c r="C662">
        <v>5</v>
      </c>
      <c r="D662">
        <v>0.01</v>
      </c>
      <c r="E662">
        <v>8.1999999999999993</v>
      </c>
      <c r="F662">
        <v>0</v>
      </c>
      <c r="G662">
        <v>0.04</v>
      </c>
      <c r="H662">
        <v>0.14000000000000001</v>
      </c>
      <c r="I662">
        <v>0.1</v>
      </c>
      <c r="J662">
        <v>0.18</v>
      </c>
      <c r="K662">
        <v>59.997999999999998</v>
      </c>
      <c r="L662" s="5" t="s">
        <v>19</v>
      </c>
    </row>
    <row r="663" spans="1:12" hidden="1" x14ac:dyDescent="0.3">
      <c r="A663" s="5" t="s">
        <v>25</v>
      </c>
      <c r="B663" s="6">
        <v>0.82105518518518517</v>
      </c>
      <c r="C663">
        <v>4.6399999999999997</v>
      </c>
      <c r="D663">
        <v>0.01</v>
      </c>
      <c r="E663">
        <v>7.4</v>
      </c>
      <c r="F663">
        <v>0</v>
      </c>
      <c r="G663">
        <v>0.04</v>
      </c>
      <c r="H663">
        <v>0.14000000000000001</v>
      </c>
      <c r="I663">
        <v>0.1</v>
      </c>
      <c r="J663">
        <v>0.18</v>
      </c>
      <c r="K663">
        <v>59.999000000000002</v>
      </c>
      <c r="L663" s="5" t="s">
        <v>19</v>
      </c>
    </row>
    <row r="664" spans="1:12" hidden="1" x14ac:dyDescent="0.3">
      <c r="A664" s="5" t="s">
        <v>25</v>
      </c>
      <c r="B664" s="6">
        <v>0.8210667592592592</v>
      </c>
      <c r="C664">
        <v>4.71</v>
      </c>
      <c r="D664">
        <v>0.01</v>
      </c>
      <c r="E664">
        <v>7.7</v>
      </c>
      <c r="F664">
        <v>0</v>
      </c>
      <c r="G664">
        <v>0.05</v>
      </c>
      <c r="H664">
        <v>0.15</v>
      </c>
      <c r="I664">
        <v>0.1</v>
      </c>
      <c r="J664">
        <v>0.18</v>
      </c>
      <c r="K664">
        <v>59.999000000000002</v>
      </c>
      <c r="L664" s="5" t="s">
        <v>19</v>
      </c>
    </row>
    <row r="665" spans="1:12" hidden="1" x14ac:dyDescent="0.3">
      <c r="A665" s="5" t="s">
        <v>25</v>
      </c>
      <c r="B665" s="6">
        <v>0.82107833333333335</v>
      </c>
      <c r="C665">
        <v>5.24</v>
      </c>
      <c r="D665">
        <v>0.01</v>
      </c>
      <c r="E665">
        <v>8.1999999999999993</v>
      </c>
      <c r="F665">
        <v>0</v>
      </c>
      <c r="G665">
        <v>0.05</v>
      </c>
      <c r="H665">
        <v>0.14000000000000001</v>
      </c>
      <c r="I665">
        <v>0.1</v>
      </c>
      <c r="J665">
        <v>0.18</v>
      </c>
      <c r="K665">
        <v>59.997999999999998</v>
      </c>
      <c r="L665" s="5" t="s">
        <v>19</v>
      </c>
    </row>
    <row r="666" spans="1:12" hidden="1" x14ac:dyDescent="0.3">
      <c r="A666" s="5" t="s">
        <v>25</v>
      </c>
      <c r="B666" s="6">
        <v>0.82108990740740739</v>
      </c>
      <c r="C666">
        <v>4.6500000000000004</v>
      </c>
      <c r="D666">
        <v>0.01</v>
      </c>
      <c r="E666">
        <v>7.5</v>
      </c>
      <c r="F666">
        <v>0</v>
      </c>
      <c r="G666">
        <v>0.04</v>
      </c>
      <c r="H666">
        <v>0.15</v>
      </c>
      <c r="I666">
        <v>0.1</v>
      </c>
      <c r="J666">
        <v>0.18</v>
      </c>
      <c r="K666">
        <v>59.999000000000002</v>
      </c>
      <c r="L666" s="5" t="s">
        <v>19</v>
      </c>
    </row>
    <row r="667" spans="1:12" hidden="1" x14ac:dyDescent="0.3">
      <c r="A667" s="5" t="s">
        <v>25</v>
      </c>
      <c r="B667" s="6">
        <v>0.82110148148148143</v>
      </c>
      <c r="C667">
        <v>5</v>
      </c>
      <c r="D667">
        <v>0.01</v>
      </c>
      <c r="E667">
        <v>8.1</v>
      </c>
      <c r="F667">
        <v>0</v>
      </c>
      <c r="G667">
        <v>0.04</v>
      </c>
      <c r="H667">
        <v>0.14000000000000001</v>
      </c>
      <c r="I667">
        <v>0.1</v>
      </c>
      <c r="J667">
        <v>0.18</v>
      </c>
      <c r="K667">
        <v>59.997</v>
      </c>
      <c r="L667" s="5" t="s">
        <v>19</v>
      </c>
    </row>
    <row r="668" spans="1:12" hidden="1" x14ac:dyDescent="0.3">
      <c r="A668" s="5" t="s">
        <v>25</v>
      </c>
      <c r="B668" s="6">
        <v>0.82111305555555558</v>
      </c>
      <c r="C668">
        <v>4.63</v>
      </c>
      <c r="D668">
        <v>0.01</v>
      </c>
      <c r="E668">
        <v>7.6</v>
      </c>
      <c r="F668">
        <v>0</v>
      </c>
      <c r="G668">
        <v>0.04</v>
      </c>
      <c r="H668">
        <v>0.14000000000000001</v>
      </c>
      <c r="I668">
        <v>0.1</v>
      </c>
      <c r="J668">
        <v>0.18</v>
      </c>
      <c r="K668">
        <v>59.997</v>
      </c>
      <c r="L668" s="5" t="s">
        <v>19</v>
      </c>
    </row>
    <row r="669" spans="1:12" hidden="1" x14ac:dyDescent="0.3">
      <c r="A669" s="5" t="s">
        <v>25</v>
      </c>
      <c r="B669" s="6">
        <v>0.82112462962962962</v>
      </c>
      <c r="C669">
        <v>4.92</v>
      </c>
      <c r="D669">
        <v>0.01</v>
      </c>
      <c r="E669">
        <v>7.9</v>
      </c>
      <c r="F669">
        <v>0</v>
      </c>
      <c r="G669">
        <v>0.04</v>
      </c>
      <c r="H669">
        <v>0.14000000000000001</v>
      </c>
      <c r="I669">
        <v>0.1</v>
      </c>
      <c r="J669">
        <v>0.18</v>
      </c>
      <c r="K669">
        <v>59.996000000000002</v>
      </c>
      <c r="L669" s="5" t="s">
        <v>19</v>
      </c>
    </row>
    <row r="670" spans="1:12" hidden="1" x14ac:dyDescent="0.3">
      <c r="A670" s="5" t="s">
        <v>25</v>
      </c>
      <c r="B670" s="6">
        <v>0.82113620370370366</v>
      </c>
      <c r="C670">
        <v>4.7300000000000004</v>
      </c>
      <c r="D670">
        <v>0.01</v>
      </c>
      <c r="E670">
        <v>7.7</v>
      </c>
      <c r="F670">
        <v>0</v>
      </c>
      <c r="G670">
        <v>0.05</v>
      </c>
      <c r="H670">
        <v>0.14000000000000001</v>
      </c>
      <c r="I670">
        <v>0.1</v>
      </c>
      <c r="J670">
        <v>0.18</v>
      </c>
      <c r="K670">
        <v>59.994999999999997</v>
      </c>
      <c r="L670" s="5" t="s">
        <v>19</v>
      </c>
    </row>
    <row r="671" spans="1:12" hidden="1" x14ac:dyDescent="0.3">
      <c r="A671" s="5" t="s">
        <v>25</v>
      </c>
      <c r="B671" s="6">
        <v>0.82114777777777781</v>
      </c>
      <c r="C671">
        <v>4.8600000000000003</v>
      </c>
      <c r="D671">
        <v>0.01</v>
      </c>
      <c r="E671">
        <v>8</v>
      </c>
      <c r="F671">
        <v>0</v>
      </c>
      <c r="G671">
        <v>0.05</v>
      </c>
      <c r="H671">
        <v>0.14000000000000001</v>
      </c>
      <c r="I671">
        <v>0.1</v>
      </c>
      <c r="J671">
        <v>0.18</v>
      </c>
      <c r="K671">
        <v>59.996000000000002</v>
      </c>
      <c r="L671" s="5" t="s">
        <v>19</v>
      </c>
    </row>
    <row r="672" spans="1:12" hidden="1" x14ac:dyDescent="0.3">
      <c r="A672" s="5" t="s">
        <v>25</v>
      </c>
      <c r="B672" s="6">
        <v>0.82115935185185185</v>
      </c>
      <c r="C672">
        <v>5.19</v>
      </c>
      <c r="D672">
        <v>0.01</v>
      </c>
      <c r="E672">
        <v>8.1</v>
      </c>
      <c r="F672">
        <v>0</v>
      </c>
      <c r="G672">
        <v>0.04</v>
      </c>
      <c r="H672">
        <v>0.14000000000000001</v>
      </c>
      <c r="I672">
        <v>0.1</v>
      </c>
      <c r="J672">
        <v>0.18</v>
      </c>
      <c r="K672">
        <v>59.996000000000002</v>
      </c>
      <c r="L672" s="5" t="s">
        <v>19</v>
      </c>
    </row>
    <row r="673" spans="1:12" hidden="1" x14ac:dyDescent="0.3">
      <c r="A673" s="5" t="s">
        <v>25</v>
      </c>
      <c r="B673" s="6">
        <v>0.82117092592592589</v>
      </c>
      <c r="C673">
        <v>4.6399999999999997</v>
      </c>
      <c r="D673">
        <v>0.01</v>
      </c>
      <c r="E673">
        <v>7.5</v>
      </c>
      <c r="F673">
        <v>0</v>
      </c>
      <c r="G673">
        <v>0.05</v>
      </c>
      <c r="H673">
        <v>0.14000000000000001</v>
      </c>
      <c r="I673">
        <v>0.1</v>
      </c>
      <c r="J673">
        <v>0.18</v>
      </c>
      <c r="K673">
        <v>59.994999999999997</v>
      </c>
      <c r="L673" s="5" t="s">
        <v>19</v>
      </c>
    </row>
    <row r="674" spans="1:12" hidden="1" x14ac:dyDescent="0.3">
      <c r="A674" s="5" t="s">
        <v>25</v>
      </c>
      <c r="B674" s="6">
        <v>0.82118250000000004</v>
      </c>
      <c r="C674">
        <v>5.1100000000000003</v>
      </c>
      <c r="D674">
        <v>0.01</v>
      </c>
      <c r="E674">
        <v>8.3000000000000007</v>
      </c>
      <c r="F674">
        <v>0</v>
      </c>
      <c r="G674">
        <v>0.05</v>
      </c>
      <c r="H674">
        <v>0.15</v>
      </c>
      <c r="I674">
        <v>0.1</v>
      </c>
      <c r="J674">
        <v>0.18</v>
      </c>
      <c r="K674">
        <v>59.994</v>
      </c>
      <c r="L674" s="5" t="s">
        <v>19</v>
      </c>
    </row>
    <row r="675" spans="1:12" hidden="1" x14ac:dyDescent="0.3">
      <c r="A675" s="5" t="s">
        <v>25</v>
      </c>
      <c r="B675" s="6">
        <v>0.82119407407407408</v>
      </c>
      <c r="C675">
        <v>4.62</v>
      </c>
      <c r="D675">
        <v>0.01</v>
      </c>
      <c r="E675">
        <v>7.6</v>
      </c>
      <c r="F675">
        <v>0</v>
      </c>
      <c r="G675">
        <v>0.05</v>
      </c>
      <c r="H675">
        <v>0.14000000000000001</v>
      </c>
      <c r="I675">
        <v>0.1</v>
      </c>
      <c r="J675">
        <v>0.18</v>
      </c>
      <c r="K675">
        <v>59.994</v>
      </c>
      <c r="L675" s="5" t="s">
        <v>19</v>
      </c>
    </row>
    <row r="676" spans="1:12" hidden="1" x14ac:dyDescent="0.3">
      <c r="A676" s="5" t="s">
        <v>25</v>
      </c>
      <c r="B676" s="6">
        <v>0.82120564814814812</v>
      </c>
      <c r="C676">
        <v>5.01</v>
      </c>
      <c r="D676">
        <v>0.01</v>
      </c>
      <c r="E676">
        <v>8.1</v>
      </c>
      <c r="F676">
        <v>0</v>
      </c>
      <c r="G676">
        <v>0.05</v>
      </c>
      <c r="H676">
        <v>0.15</v>
      </c>
      <c r="I676">
        <v>0.1</v>
      </c>
      <c r="J676">
        <v>0.18</v>
      </c>
      <c r="K676">
        <v>59.993000000000002</v>
      </c>
      <c r="L676" s="5" t="s">
        <v>19</v>
      </c>
    </row>
    <row r="677" spans="1:12" hidden="1" x14ac:dyDescent="0.3">
      <c r="A677" s="5" t="s">
        <v>25</v>
      </c>
      <c r="B677" s="6">
        <v>0.82121722222222227</v>
      </c>
      <c r="C677">
        <v>4.8</v>
      </c>
      <c r="D677">
        <v>0.01</v>
      </c>
      <c r="E677">
        <v>7.7</v>
      </c>
      <c r="F677">
        <v>0</v>
      </c>
      <c r="G677">
        <v>0.05</v>
      </c>
      <c r="H677">
        <v>0.14000000000000001</v>
      </c>
      <c r="I677">
        <v>0.1</v>
      </c>
      <c r="J677">
        <v>0.18</v>
      </c>
      <c r="K677">
        <v>59.993000000000002</v>
      </c>
      <c r="L677" s="5" t="s">
        <v>19</v>
      </c>
    </row>
    <row r="678" spans="1:12" hidden="1" x14ac:dyDescent="0.3">
      <c r="A678" s="5" t="s">
        <v>25</v>
      </c>
      <c r="B678" s="6">
        <v>0.8212287962962963</v>
      </c>
      <c r="C678">
        <v>4.79</v>
      </c>
      <c r="D678">
        <v>0.01</v>
      </c>
      <c r="E678">
        <v>7.9</v>
      </c>
      <c r="F678">
        <v>0</v>
      </c>
      <c r="G678">
        <v>0.05</v>
      </c>
      <c r="H678">
        <v>0.14000000000000001</v>
      </c>
      <c r="I678">
        <v>0.1</v>
      </c>
      <c r="J678">
        <v>0.18</v>
      </c>
      <c r="K678">
        <v>59.994</v>
      </c>
      <c r="L678" s="5" t="s">
        <v>19</v>
      </c>
    </row>
    <row r="679" spans="1:12" hidden="1" x14ac:dyDescent="0.3">
      <c r="A679" s="5" t="s">
        <v>25</v>
      </c>
      <c r="B679" s="6">
        <v>0.82124037037037034</v>
      </c>
      <c r="C679">
        <v>5.01</v>
      </c>
      <c r="D679">
        <v>0.01</v>
      </c>
      <c r="E679">
        <v>8.1</v>
      </c>
      <c r="F679">
        <v>0</v>
      </c>
      <c r="G679">
        <v>0.04</v>
      </c>
      <c r="H679">
        <v>0.15</v>
      </c>
      <c r="I679">
        <v>0.1</v>
      </c>
      <c r="J679">
        <v>0.18</v>
      </c>
      <c r="K679">
        <v>59.991999999999997</v>
      </c>
      <c r="L679" s="5" t="s">
        <v>19</v>
      </c>
    </row>
    <row r="680" spans="1:12" hidden="1" x14ac:dyDescent="0.3">
      <c r="A680" s="5" t="s">
        <v>25</v>
      </c>
      <c r="B680" s="6">
        <v>0.82125194444444449</v>
      </c>
      <c r="C680">
        <v>4.9000000000000004</v>
      </c>
      <c r="D680">
        <v>0.01</v>
      </c>
      <c r="E680">
        <v>7.9</v>
      </c>
      <c r="F680">
        <v>0</v>
      </c>
      <c r="G680">
        <v>0.05</v>
      </c>
      <c r="H680">
        <v>0.14000000000000001</v>
      </c>
      <c r="I680">
        <v>0.1</v>
      </c>
      <c r="J680">
        <v>0.18</v>
      </c>
      <c r="K680">
        <v>59.991999999999997</v>
      </c>
      <c r="L680" s="5" t="s">
        <v>19</v>
      </c>
    </row>
    <row r="681" spans="1:12" hidden="1" x14ac:dyDescent="0.3">
      <c r="A681" s="5" t="s">
        <v>25</v>
      </c>
      <c r="B681" s="6">
        <v>0.82126351851851853</v>
      </c>
      <c r="C681">
        <v>5.05</v>
      </c>
      <c r="D681">
        <v>0.01</v>
      </c>
      <c r="E681">
        <v>8</v>
      </c>
      <c r="F681">
        <v>0</v>
      </c>
      <c r="G681">
        <v>0.04</v>
      </c>
      <c r="H681">
        <v>0.14000000000000001</v>
      </c>
      <c r="I681">
        <v>0.1</v>
      </c>
      <c r="J681">
        <v>0.18</v>
      </c>
      <c r="K681">
        <v>59.991999999999997</v>
      </c>
      <c r="L681" s="5" t="s">
        <v>19</v>
      </c>
    </row>
    <row r="682" spans="1:12" hidden="1" x14ac:dyDescent="0.3">
      <c r="A682" s="5" t="s">
        <v>25</v>
      </c>
      <c r="B682" s="6">
        <v>0.82127509259259257</v>
      </c>
      <c r="C682">
        <v>4.6900000000000004</v>
      </c>
      <c r="D682">
        <v>0.01</v>
      </c>
      <c r="E682">
        <v>7.6</v>
      </c>
      <c r="F682">
        <v>0</v>
      </c>
      <c r="G682">
        <v>0.04</v>
      </c>
      <c r="H682">
        <v>0.15</v>
      </c>
      <c r="I682">
        <v>0.1</v>
      </c>
      <c r="J682">
        <v>0.18</v>
      </c>
      <c r="K682">
        <v>59.991999999999997</v>
      </c>
      <c r="L682" s="5" t="s">
        <v>19</v>
      </c>
    </row>
    <row r="683" spans="1:12" hidden="1" x14ac:dyDescent="0.3">
      <c r="A683" s="5" t="s">
        <v>25</v>
      </c>
      <c r="B683" s="6">
        <v>0.82128666666666672</v>
      </c>
      <c r="C683">
        <v>4.8099999999999996</v>
      </c>
      <c r="D683">
        <v>0.01</v>
      </c>
      <c r="E683">
        <v>7.8</v>
      </c>
      <c r="F683">
        <v>0</v>
      </c>
      <c r="G683">
        <v>0.04</v>
      </c>
      <c r="H683">
        <v>0.14000000000000001</v>
      </c>
      <c r="I683">
        <v>0.1</v>
      </c>
      <c r="J683">
        <v>0.18</v>
      </c>
      <c r="K683">
        <v>59.991999999999997</v>
      </c>
      <c r="L683" s="5" t="s">
        <v>19</v>
      </c>
    </row>
    <row r="684" spans="1:12" hidden="1" x14ac:dyDescent="0.3">
      <c r="A684" s="5" t="s">
        <v>25</v>
      </c>
      <c r="B684" s="6">
        <v>0.82129824074074076</v>
      </c>
      <c r="C684">
        <v>4.8600000000000003</v>
      </c>
      <c r="D684">
        <v>0.01</v>
      </c>
      <c r="E684">
        <v>7.8</v>
      </c>
      <c r="F684">
        <v>0</v>
      </c>
      <c r="G684">
        <v>0.04</v>
      </c>
      <c r="H684">
        <v>0.14000000000000001</v>
      </c>
      <c r="I684">
        <v>0.1</v>
      </c>
      <c r="J684">
        <v>0.18</v>
      </c>
      <c r="K684">
        <v>59.991999999999997</v>
      </c>
      <c r="L684" s="5" t="s">
        <v>19</v>
      </c>
    </row>
    <row r="685" spans="1:12" hidden="1" x14ac:dyDescent="0.3">
      <c r="A685" s="5" t="s">
        <v>25</v>
      </c>
      <c r="B685" s="6">
        <v>0.8213098148148148</v>
      </c>
      <c r="C685">
        <v>4.84</v>
      </c>
      <c r="D685">
        <v>0.01</v>
      </c>
      <c r="E685">
        <v>7.9</v>
      </c>
      <c r="F685">
        <v>0</v>
      </c>
      <c r="G685">
        <v>0.04</v>
      </c>
      <c r="H685">
        <v>0.14000000000000001</v>
      </c>
      <c r="I685">
        <v>0.1</v>
      </c>
      <c r="J685">
        <v>0.18</v>
      </c>
      <c r="K685">
        <v>59.991999999999997</v>
      </c>
      <c r="L685" s="5" t="s">
        <v>19</v>
      </c>
    </row>
    <row r="686" spans="1:12" hidden="1" x14ac:dyDescent="0.3">
      <c r="A686" s="5" t="s">
        <v>25</v>
      </c>
      <c r="B686" s="6">
        <v>0.82132138888888884</v>
      </c>
      <c r="C686">
        <v>5.31</v>
      </c>
      <c r="D686">
        <v>0.01</v>
      </c>
      <c r="E686">
        <v>8.1999999999999993</v>
      </c>
      <c r="F686">
        <v>0</v>
      </c>
      <c r="G686">
        <v>0.04</v>
      </c>
      <c r="H686">
        <v>0.15</v>
      </c>
      <c r="I686">
        <v>0.1</v>
      </c>
      <c r="J686">
        <v>0.18</v>
      </c>
      <c r="K686">
        <v>59.991999999999997</v>
      </c>
      <c r="L686" s="5" t="s">
        <v>19</v>
      </c>
    </row>
    <row r="687" spans="1:12" hidden="1" x14ac:dyDescent="0.3">
      <c r="A687" s="5" t="s">
        <v>25</v>
      </c>
      <c r="B687" s="6">
        <v>0.82133296296296299</v>
      </c>
      <c r="C687">
        <v>4.6500000000000004</v>
      </c>
      <c r="D687">
        <v>0.01</v>
      </c>
      <c r="E687">
        <v>7.5</v>
      </c>
      <c r="F687">
        <v>0</v>
      </c>
      <c r="G687">
        <v>0.05</v>
      </c>
      <c r="H687">
        <v>0.15</v>
      </c>
      <c r="I687">
        <v>0.1</v>
      </c>
      <c r="J687">
        <v>0.18</v>
      </c>
      <c r="K687">
        <v>59.993000000000002</v>
      </c>
      <c r="L687" s="5" t="s">
        <v>19</v>
      </c>
    </row>
    <row r="688" spans="1:12" hidden="1" x14ac:dyDescent="0.3">
      <c r="A688" s="5" t="s">
        <v>25</v>
      </c>
      <c r="B688" s="6">
        <v>0.82134453703703703</v>
      </c>
      <c r="C688">
        <v>4.9800000000000004</v>
      </c>
      <c r="D688">
        <v>0.01</v>
      </c>
      <c r="E688">
        <v>8</v>
      </c>
      <c r="F688">
        <v>0</v>
      </c>
      <c r="G688">
        <v>0.05</v>
      </c>
      <c r="H688">
        <v>0.15</v>
      </c>
      <c r="I688">
        <v>0.1</v>
      </c>
      <c r="J688">
        <v>0.18</v>
      </c>
      <c r="K688">
        <v>59.991999999999997</v>
      </c>
      <c r="L688" s="5" t="s">
        <v>19</v>
      </c>
    </row>
    <row r="689" spans="1:12" hidden="1" x14ac:dyDescent="0.3">
      <c r="A689" s="5" t="s">
        <v>25</v>
      </c>
      <c r="B689" s="6">
        <v>0.82135611111111106</v>
      </c>
      <c r="C689">
        <v>4.67</v>
      </c>
      <c r="D689">
        <v>0.01</v>
      </c>
      <c r="E689">
        <v>7.5</v>
      </c>
      <c r="F689">
        <v>0</v>
      </c>
      <c r="G689">
        <v>0.05</v>
      </c>
      <c r="H689">
        <v>0.15</v>
      </c>
      <c r="I689">
        <v>0.1</v>
      </c>
      <c r="J689">
        <v>0.18</v>
      </c>
      <c r="K689">
        <v>59.994</v>
      </c>
      <c r="L689" s="5" t="s">
        <v>19</v>
      </c>
    </row>
    <row r="690" spans="1:12" hidden="1" x14ac:dyDescent="0.3">
      <c r="A690" s="5" t="s">
        <v>25</v>
      </c>
      <c r="B690" s="6">
        <v>0.82136768518518521</v>
      </c>
      <c r="C690">
        <v>4.82</v>
      </c>
      <c r="D690">
        <v>0.01</v>
      </c>
      <c r="E690">
        <v>7.8</v>
      </c>
      <c r="F690">
        <v>0</v>
      </c>
      <c r="G690">
        <v>0.04</v>
      </c>
      <c r="H690">
        <v>0.14000000000000001</v>
      </c>
      <c r="I690">
        <v>0.1</v>
      </c>
      <c r="J690">
        <v>0.18</v>
      </c>
      <c r="K690">
        <v>59.994</v>
      </c>
      <c r="L690" s="5" t="s">
        <v>19</v>
      </c>
    </row>
    <row r="691" spans="1:12" hidden="1" x14ac:dyDescent="0.3">
      <c r="A691" s="5" t="s">
        <v>25</v>
      </c>
      <c r="B691" s="6">
        <v>0.82137925925925925</v>
      </c>
      <c r="C691">
        <v>4.8899999999999997</v>
      </c>
      <c r="D691">
        <v>0.01</v>
      </c>
      <c r="E691">
        <v>7.8</v>
      </c>
      <c r="F691">
        <v>0</v>
      </c>
      <c r="G691">
        <v>0.05</v>
      </c>
      <c r="H691">
        <v>0.14000000000000001</v>
      </c>
      <c r="I691">
        <v>0.1</v>
      </c>
      <c r="J691">
        <v>0.18</v>
      </c>
      <c r="K691">
        <v>59.994999999999997</v>
      </c>
      <c r="L691" s="5" t="s">
        <v>19</v>
      </c>
    </row>
    <row r="692" spans="1:12" hidden="1" x14ac:dyDescent="0.3">
      <c r="A692" s="5" t="s">
        <v>25</v>
      </c>
      <c r="B692" s="6">
        <v>0.82139083333333329</v>
      </c>
      <c r="C692">
        <v>4.91</v>
      </c>
      <c r="D692">
        <v>0.01</v>
      </c>
      <c r="E692">
        <v>7.8</v>
      </c>
      <c r="F692">
        <v>0</v>
      </c>
      <c r="G692">
        <v>0.04</v>
      </c>
      <c r="H692">
        <v>0.15</v>
      </c>
      <c r="I692">
        <v>0.1</v>
      </c>
      <c r="J692">
        <v>0.18</v>
      </c>
      <c r="K692">
        <v>59.994999999999997</v>
      </c>
      <c r="L692" s="5" t="s">
        <v>19</v>
      </c>
    </row>
    <row r="693" spans="1:12" hidden="1" x14ac:dyDescent="0.3">
      <c r="A693" s="5" t="s">
        <v>25</v>
      </c>
      <c r="B693" s="6">
        <v>0.82140240740740744</v>
      </c>
      <c r="C693">
        <v>4.93</v>
      </c>
      <c r="D693">
        <v>0.01</v>
      </c>
      <c r="E693">
        <v>7.6</v>
      </c>
      <c r="F693">
        <v>0</v>
      </c>
      <c r="G693">
        <v>0.04</v>
      </c>
      <c r="H693">
        <v>0.14000000000000001</v>
      </c>
      <c r="I693">
        <v>0.1</v>
      </c>
      <c r="J693">
        <v>0.18</v>
      </c>
      <c r="K693">
        <v>59.994999999999997</v>
      </c>
      <c r="L693" s="5" t="s">
        <v>19</v>
      </c>
    </row>
    <row r="694" spans="1:12" hidden="1" x14ac:dyDescent="0.3">
      <c r="A694" s="5" t="s">
        <v>25</v>
      </c>
      <c r="B694" s="6">
        <v>0.82141398148148148</v>
      </c>
      <c r="C694">
        <v>4.5999999999999996</v>
      </c>
      <c r="D694">
        <v>0.01</v>
      </c>
      <c r="E694">
        <v>7.2</v>
      </c>
      <c r="F694">
        <v>0</v>
      </c>
      <c r="G694">
        <v>0.04</v>
      </c>
      <c r="H694">
        <v>0.15</v>
      </c>
      <c r="I694">
        <v>0.1</v>
      </c>
      <c r="J694">
        <v>0.18</v>
      </c>
      <c r="K694">
        <v>59.997</v>
      </c>
      <c r="L694" s="5" t="s">
        <v>19</v>
      </c>
    </row>
    <row r="695" spans="1:12" hidden="1" x14ac:dyDescent="0.3">
      <c r="A695" s="5" t="s">
        <v>25</v>
      </c>
      <c r="B695" s="6">
        <v>0.82142555555555552</v>
      </c>
      <c r="C695">
        <v>4.82</v>
      </c>
      <c r="D695">
        <v>0.01</v>
      </c>
      <c r="E695">
        <v>7.6</v>
      </c>
      <c r="F695">
        <v>0</v>
      </c>
      <c r="G695">
        <v>0.04</v>
      </c>
      <c r="H695">
        <v>0.15</v>
      </c>
      <c r="I695">
        <v>0.1</v>
      </c>
      <c r="J695">
        <v>0.18</v>
      </c>
      <c r="K695">
        <v>59.997</v>
      </c>
      <c r="L695" s="5" t="s">
        <v>19</v>
      </c>
    </row>
    <row r="696" spans="1:12" hidden="1" x14ac:dyDescent="0.3">
      <c r="A696" s="5" t="s">
        <v>25</v>
      </c>
      <c r="B696" s="6">
        <v>0.82143712962962967</v>
      </c>
      <c r="C696">
        <v>4.6900000000000004</v>
      </c>
      <c r="D696">
        <v>0.01</v>
      </c>
      <c r="E696">
        <v>7.2</v>
      </c>
      <c r="F696">
        <v>0</v>
      </c>
      <c r="G696">
        <v>0.04</v>
      </c>
      <c r="H696">
        <v>0.15</v>
      </c>
      <c r="I696">
        <v>0.1</v>
      </c>
      <c r="J696">
        <v>0.18</v>
      </c>
      <c r="K696">
        <v>60</v>
      </c>
      <c r="L696" s="5" t="s">
        <v>19</v>
      </c>
    </row>
    <row r="697" spans="1:12" hidden="1" x14ac:dyDescent="0.3">
      <c r="A697" s="5" t="s">
        <v>25</v>
      </c>
      <c r="B697" s="6">
        <v>0.82144870370370371</v>
      </c>
      <c r="C697">
        <v>4.71</v>
      </c>
      <c r="D697">
        <v>0.01</v>
      </c>
      <c r="E697">
        <v>7.4</v>
      </c>
      <c r="F697">
        <v>0</v>
      </c>
      <c r="G697">
        <v>0.04</v>
      </c>
      <c r="H697">
        <v>0.14000000000000001</v>
      </c>
      <c r="I697">
        <v>0.1</v>
      </c>
      <c r="J697">
        <v>0.18</v>
      </c>
      <c r="K697">
        <v>60.000999999999998</v>
      </c>
      <c r="L697" s="5" t="s">
        <v>19</v>
      </c>
    </row>
    <row r="698" spans="1:12" hidden="1" x14ac:dyDescent="0.3">
      <c r="A698" s="5" t="s">
        <v>25</v>
      </c>
      <c r="B698" s="6">
        <v>0.82146027777777775</v>
      </c>
      <c r="C698">
        <v>4.7300000000000004</v>
      </c>
      <c r="D698">
        <v>0.01</v>
      </c>
      <c r="E698">
        <v>7.3</v>
      </c>
      <c r="F698">
        <v>0</v>
      </c>
      <c r="G698">
        <v>0.05</v>
      </c>
      <c r="H698">
        <v>0.15</v>
      </c>
      <c r="I698">
        <v>0.1</v>
      </c>
      <c r="J698">
        <v>0.18</v>
      </c>
      <c r="K698">
        <v>60.000999999999998</v>
      </c>
      <c r="L698" s="5" t="s">
        <v>19</v>
      </c>
    </row>
    <row r="699" spans="1:12" hidden="1" x14ac:dyDescent="0.3">
      <c r="A699" s="5" t="s">
        <v>25</v>
      </c>
      <c r="B699" s="6">
        <v>0.8214718518518519</v>
      </c>
      <c r="C699">
        <v>4.55</v>
      </c>
      <c r="D699">
        <v>0.01</v>
      </c>
      <c r="E699">
        <v>7.1</v>
      </c>
      <c r="F699">
        <v>0</v>
      </c>
      <c r="G699">
        <v>0.04</v>
      </c>
      <c r="H699">
        <v>0.15</v>
      </c>
      <c r="I699">
        <v>0.1</v>
      </c>
      <c r="J699">
        <v>0.18</v>
      </c>
      <c r="K699">
        <v>60.002000000000002</v>
      </c>
      <c r="L699" s="5" t="s">
        <v>19</v>
      </c>
    </row>
    <row r="700" spans="1:12" hidden="1" x14ac:dyDescent="0.3">
      <c r="A700" s="5" t="s">
        <v>25</v>
      </c>
      <c r="B700" s="6">
        <v>0.82148342592592594</v>
      </c>
      <c r="C700">
        <v>4.6100000000000003</v>
      </c>
      <c r="D700">
        <v>0.01</v>
      </c>
      <c r="E700">
        <v>7.1</v>
      </c>
      <c r="F700">
        <v>0</v>
      </c>
      <c r="G700">
        <v>0.04</v>
      </c>
      <c r="H700">
        <v>0.15</v>
      </c>
      <c r="I700">
        <v>0.1</v>
      </c>
      <c r="J700">
        <v>0.18</v>
      </c>
      <c r="K700">
        <v>60.002000000000002</v>
      </c>
      <c r="L700" s="5" t="s">
        <v>19</v>
      </c>
    </row>
    <row r="701" spans="1:12" hidden="1" x14ac:dyDescent="0.3">
      <c r="A701" s="5" t="s">
        <v>25</v>
      </c>
      <c r="B701" s="6">
        <v>0.82149499999999998</v>
      </c>
      <c r="C701">
        <v>4.41</v>
      </c>
      <c r="D701">
        <v>0.01</v>
      </c>
      <c r="E701">
        <v>6.8</v>
      </c>
      <c r="F701">
        <v>0</v>
      </c>
      <c r="G701">
        <v>0.04</v>
      </c>
      <c r="H701">
        <v>0.15</v>
      </c>
      <c r="I701">
        <v>0.1</v>
      </c>
      <c r="J701">
        <v>0.18</v>
      </c>
      <c r="K701">
        <v>60.003999999999998</v>
      </c>
      <c r="L701" s="5" t="s">
        <v>19</v>
      </c>
    </row>
    <row r="702" spans="1:12" hidden="1" x14ac:dyDescent="0.3">
      <c r="A702" s="5" t="s">
        <v>25</v>
      </c>
      <c r="B702" s="6">
        <v>0.82150657407407413</v>
      </c>
      <c r="C702">
        <v>4.53</v>
      </c>
      <c r="D702">
        <v>0.01</v>
      </c>
      <c r="E702">
        <v>7</v>
      </c>
      <c r="F702">
        <v>0</v>
      </c>
      <c r="G702">
        <v>0.05</v>
      </c>
      <c r="H702">
        <v>0.15</v>
      </c>
      <c r="I702">
        <v>0.1</v>
      </c>
      <c r="J702">
        <v>0.18</v>
      </c>
      <c r="K702">
        <v>60.003999999999998</v>
      </c>
      <c r="L702" s="5" t="s">
        <v>19</v>
      </c>
    </row>
    <row r="703" spans="1:12" hidden="1" x14ac:dyDescent="0.3">
      <c r="A703" s="5" t="s">
        <v>25</v>
      </c>
      <c r="B703" s="6">
        <v>0.82151814814814816</v>
      </c>
      <c r="C703">
        <v>4.51</v>
      </c>
      <c r="D703">
        <v>0.01</v>
      </c>
      <c r="E703">
        <v>7</v>
      </c>
      <c r="F703">
        <v>0</v>
      </c>
      <c r="G703">
        <v>0.05</v>
      </c>
      <c r="H703">
        <v>0.15</v>
      </c>
      <c r="I703">
        <v>0.1</v>
      </c>
      <c r="J703">
        <v>0.18</v>
      </c>
      <c r="K703">
        <v>60.006</v>
      </c>
      <c r="L703" s="5" t="s">
        <v>19</v>
      </c>
    </row>
    <row r="704" spans="1:12" hidden="1" x14ac:dyDescent="0.3">
      <c r="A704" s="5" t="s">
        <v>25</v>
      </c>
      <c r="B704" s="6">
        <v>0.8215297222222222</v>
      </c>
      <c r="C704">
        <v>4.4400000000000004</v>
      </c>
      <c r="D704">
        <v>0.01</v>
      </c>
      <c r="E704">
        <v>6.9</v>
      </c>
      <c r="F704">
        <v>0</v>
      </c>
      <c r="G704">
        <v>0.05</v>
      </c>
      <c r="H704">
        <v>0.15</v>
      </c>
      <c r="I704">
        <v>0.1</v>
      </c>
      <c r="J704">
        <v>0.18</v>
      </c>
      <c r="K704">
        <v>60.006999999999998</v>
      </c>
      <c r="L704" s="5" t="s">
        <v>19</v>
      </c>
    </row>
    <row r="705" spans="1:12" hidden="1" x14ac:dyDescent="0.3">
      <c r="A705" s="5" t="s">
        <v>25</v>
      </c>
      <c r="B705" s="6">
        <v>0.82154129629629624</v>
      </c>
      <c r="C705">
        <v>4.6500000000000004</v>
      </c>
      <c r="D705">
        <v>0.01</v>
      </c>
      <c r="E705">
        <v>7.2</v>
      </c>
      <c r="F705">
        <v>0</v>
      </c>
      <c r="G705">
        <v>0.05</v>
      </c>
      <c r="H705">
        <v>0.15</v>
      </c>
      <c r="I705">
        <v>0.1</v>
      </c>
      <c r="J705">
        <v>0.18</v>
      </c>
      <c r="K705">
        <v>60.006</v>
      </c>
      <c r="L705" s="5" t="s">
        <v>19</v>
      </c>
    </row>
    <row r="706" spans="1:12" hidden="1" x14ac:dyDescent="0.3">
      <c r="A706" s="5" t="s">
        <v>25</v>
      </c>
      <c r="B706" s="6">
        <v>0.82155287037037039</v>
      </c>
      <c r="C706">
        <v>4.32</v>
      </c>
      <c r="D706">
        <v>0.01</v>
      </c>
      <c r="E706">
        <v>6.7</v>
      </c>
      <c r="F706">
        <v>0</v>
      </c>
      <c r="G706">
        <v>0.05</v>
      </c>
      <c r="H706">
        <v>0.15</v>
      </c>
      <c r="I706">
        <v>0.1</v>
      </c>
      <c r="J706">
        <v>0.18</v>
      </c>
      <c r="K706">
        <v>60.006999999999998</v>
      </c>
      <c r="L706" s="5" t="s">
        <v>19</v>
      </c>
    </row>
    <row r="707" spans="1:12" hidden="1" x14ac:dyDescent="0.3">
      <c r="A707" s="5" t="s">
        <v>25</v>
      </c>
      <c r="B707" s="6">
        <v>0.82156444444444443</v>
      </c>
      <c r="C707">
        <v>4.8600000000000003</v>
      </c>
      <c r="D707">
        <v>0.01</v>
      </c>
      <c r="E707">
        <v>7.5</v>
      </c>
      <c r="F707">
        <v>0</v>
      </c>
      <c r="G707">
        <v>0.05</v>
      </c>
      <c r="H707">
        <v>0.15</v>
      </c>
      <c r="I707">
        <v>0.1</v>
      </c>
      <c r="J707">
        <v>0.18</v>
      </c>
      <c r="K707">
        <v>60.003999999999998</v>
      </c>
      <c r="L707" s="5" t="s">
        <v>19</v>
      </c>
    </row>
    <row r="708" spans="1:12" hidden="1" x14ac:dyDescent="0.3">
      <c r="A708" s="5" t="s">
        <v>25</v>
      </c>
      <c r="B708" s="6">
        <v>0.82157601851851847</v>
      </c>
      <c r="C708">
        <v>4.4000000000000004</v>
      </c>
      <c r="D708">
        <v>0.01</v>
      </c>
      <c r="E708">
        <v>6.9</v>
      </c>
      <c r="F708">
        <v>0</v>
      </c>
      <c r="G708">
        <v>0.04</v>
      </c>
      <c r="H708">
        <v>0.15</v>
      </c>
      <c r="I708">
        <v>0.1</v>
      </c>
      <c r="J708">
        <v>0.18</v>
      </c>
      <c r="K708">
        <v>60.008000000000003</v>
      </c>
      <c r="L708" s="5" t="s">
        <v>19</v>
      </c>
    </row>
    <row r="709" spans="1:12" hidden="1" x14ac:dyDescent="0.3">
      <c r="A709" s="5" t="s">
        <v>25</v>
      </c>
      <c r="B709" s="6">
        <v>0.82158759259259262</v>
      </c>
      <c r="C709">
        <v>4.45</v>
      </c>
      <c r="D709">
        <v>0.01</v>
      </c>
      <c r="E709">
        <v>6.9</v>
      </c>
      <c r="F709">
        <v>0</v>
      </c>
      <c r="G709">
        <v>0.04</v>
      </c>
      <c r="H709">
        <v>0.15</v>
      </c>
      <c r="I709">
        <v>0.1</v>
      </c>
      <c r="J709">
        <v>0.18</v>
      </c>
      <c r="K709">
        <v>60.006</v>
      </c>
      <c r="L709" s="5" t="s">
        <v>19</v>
      </c>
    </row>
    <row r="710" spans="1:12" hidden="1" x14ac:dyDescent="0.3">
      <c r="A710" s="5" t="s">
        <v>25</v>
      </c>
      <c r="B710" s="6">
        <v>0.82159916666666666</v>
      </c>
      <c r="C710">
        <v>4.5599999999999996</v>
      </c>
      <c r="D710">
        <v>0.01</v>
      </c>
      <c r="E710">
        <v>7</v>
      </c>
      <c r="F710">
        <v>0</v>
      </c>
      <c r="G710">
        <v>0.05</v>
      </c>
      <c r="H710">
        <v>0.15</v>
      </c>
      <c r="I710">
        <v>0.1</v>
      </c>
      <c r="J710">
        <v>0.18</v>
      </c>
      <c r="K710">
        <v>60.006</v>
      </c>
      <c r="L710" s="5" t="s">
        <v>19</v>
      </c>
    </row>
    <row r="711" spans="1:12" hidden="1" x14ac:dyDescent="0.3">
      <c r="A711" s="5" t="s">
        <v>25</v>
      </c>
      <c r="B711" s="6">
        <v>0.8216107407407407</v>
      </c>
      <c r="C711">
        <v>4.3899999999999997</v>
      </c>
      <c r="D711">
        <v>0.01</v>
      </c>
      <c r="E711">
        <v>6.8</v>
      </c>
      <c r="F711">
        <v>0</v>
      </c>
      <c r="G711">
        <v>0.05</v>
      </c>
      <c r="H711">
        <v>0.15</v>
      </c>
      <c r="I711">
        <v>0.1</v>
      </c>
      <c r="J711">
        <v>0.18</v>
      </c>
      <c r="K711">
        <v>60.006</v>
      </c>
      <c r="L711" s="5" t="s">
        <v>19</v>
      </c>
    </row>
    <row r="712" spans="1:12" hidden="1" x14ac:dyDescent="0.3">
      <c r="A712" s="5" t="s">
        <v>25</v>
      </c>
      <c r="B712" s="6">
        <v>0.82162231481481485</v>
      </c>
      <c r="C712">
        <v>4.6399999999999997</v>
      </c>
      <c r="D712">
        <v>0.01</v>
      </c>
      <c r="E712">
        <v>7.1</v>
      </c>
      <c r="F712">
        <v>0</v>
      </c>
      <c r="G712">
        <v>0.05</v>
      </c>
      <c r="H712">
        <v>0.15</v>
      </c>
      <c r="I712">
        <v>0.1</v>
      </c>
      <c r="J712">
        <v>0.18</v>
      </c>
      <c r="K712">
        <v>60.006</v>
      </c>
      <c r="L712" s="5" t="s">
        <v>19</v>
      </c>
    </row>
    <row r="713" spans="1:12" hidden="1" x14ac:dyDescent="0.3">
      <c r="A713" s="5" t="s">
        <v>25</v>
      </c>
      <c r="B713" s="6">
        <v>0.82163388888888889</v>
      </c>
      <c r="C713">
        <v>4.38</v>
      </c>
      <c r="D713">
        <v>0.01</v>
      </c>
      <c r="E713">
        <v>6.7</v>
      </c>
      <c r="F713">
        <v>0</v>
      </c>
      <c r="G713">
        <v>0.05</v>
      </c>
      <c r="H713">
        <v>0.15</v>
      </c>
      <c r="I713">
        <v>0.1</v>
      </c>
      <c r="J713">
        <v>0.18</v>
      </c>
      <c r="K713">
        <v>60.006</v>
      </c>
      <c r="L713" s="5" t="s">
        <v>19</v>
      </c>
    </row>
    <row r="714" spans="1:12" hidden="1" x14ac:dyDescent="0.3">
      <c r="A714" s="5" t="s">
        <v>25</v>
      </c>
      <c r="B714" s="6">
        <v>0.82164546296296292</v>
      </c>
      <c r="C714">
        <v>4.58</v>
      </c>
      <c r="D714">
        <v>0.01</v>
      </c>
      <c r="E714">
        <v>7.1</v>
      </c>
      <c r="F714">
        <v>0</v>
      </c>
      <c r="G714">
        <v>0.05</v>
      </c>
      <c r="H714">
        <v>0.15</v>
      </c>
      <c r="I714">
        <v>0.1</v>
      </c>
      <c r="J714">
        <v>0.18</v>
      </c>
      <c r="K714">
        <v>60.005000000000003</v>
      </c>
      <c r="L714" s="5" t="s">
        <v>19</v>
      </c>
    </row>
    <row r="715" spans="1:12" hidden="1" x14ac:dyDescent="0.3">
      <c r="A715" s="5" t="s">
        <v>25</v>
      </c>
      <c r="B715" s="6">
        <v>0.82165703703703707</v>
      </c>
      <c r="C715">
        <v>4.42</v>
      </c>
      <c r="D715">
        <v>0.01</v>
      </c>
      <c r="E715">
        <v>6.8</v>
      </c>
      <c r="F715">
        <v>0</v>
      </c>
      <c r="G715">
        <v>0.04</v>
      </c>
      <c r="H715">
        <v>0.15</v>
      </c>
      <c r="I715">
        <v>0.1</v>
      </c>
      <c r="J715">
        <v>0.18</v>
      </c>
      <c r="K715">
        <v>60.006999999999998</v>
      </c>
      <c r="L715" s="5" t="s">
        <v>19</v>
      </c>
    </row>
    <row r="716" spans="1:12" hidden="1" x14ac:dyDescent="0.3">
      <c r="A716" s="5" t="s">
        <v>25</v>
      </c>
      <c r="B716" s="6">
        <v>0.82166861111111111</v>
      </c>
      <c r="C716">
        <v>4.8099999999999996</v>
      </c>
      <c r="D716">
        <v>0.01</v>
      </c>
      <c r="E716">
        <v>7.5</v>
      </c>
      <c r="F716">
        <v>0</v>
      </c>
      <c r="G716">
        <v>0.04</v>
      </c>
      <c r="H716">
        <v>0.15</v>
      </c>
      <c r="I716">
        <v>0.1</v>
      </c>
      <c r="J716">
        <v>0.18</v>
      </c>
      <c r="K716">
        <v>60.005000000000003</v>
      </c>
      <c r="L716" s="5" t="s">
        <v>19</v>
      </c>
    </row>
    <row r="717" spans="1:12" hidden="1" x14ac:dyDescent="0.3">
      <c r="A717" s="5" t="s">
        <v>25</v>
      </c>
      <c r="B717" s="6">
        <v>0.82168018518518515</v>
      </c>
      <c r="C717">
        <v>4.88</v>
      </c>
      <c r="D717">
        <v>0.01</v>
      </c>
      <c r="E717">
        <v>7.4</v>
      </c>
      <c r="F717">
        <v>0</v>
      </c>
      <c r="G717">
        <v>0.05</v>
      </c>
      <c r="H717">
        <v>0.15</v>
      </c>
      <c r="I717">
        <v>0.1</v>
      </c>
      <c r="J717">
        <v>0.18</v>
      </c>
      <c r="K717">
        <v>60.006999999999998</v>
      </c>
      <c r="L717" s="5" t="s">
        <v>19</v>
      </c>
    </row>
    <row r="718" spans="1:12" hidden="1" x14ac:dyDescent="0.3">
      <c r="A718" s="5" t="s">
        <v>25</v>
      </c>
      <c r="B718" s="6">
        <v>0.8216917592592593</v>
      </c>
      <c r="C718">
        <v>4.7300000000000004</v>
      </c>
      <c r="D718">
        <v>0.01</v>
      </c>
      <c r="E718">
        <v>7.3</v>
      </c>
      <c r="F718">
        <v>0</v>
      </c>
      <c r="G718">
        <v>0.05</v>
      </c>
      <c r="H718">
        <v>0.15</v>
      </c>
      <c r="I718">
        <v>0.1</v>
      </c>
      <c r="J718">
        <v>0.18</v>
      </c>
      <c r="K718">
        <v>60.005000000000003</v>
      </c>
      <c r="L718" s="5" t="s">
        <v>19</v>
      </c>
    </row>
    <row r="719" spans="1:12" hidden="1" x14ac:dyDescent="0.3">
      <c r="A719" s="5" t="s">
        <v>25</v>
      </c>
      <c r="B719" s="6">
        <v>0.82170333333333334</v>
      </c>
      <c r="C719">
        <v>4.96</v>
      </c>
      <c r="D719">
        <v>0.01</v>
      </c>
      <c r="E719">
        <v>7.6</v>
      </c>
      <c r="F719">
        <v>0</v>
      </c>
      <c r="G719">
        <v>0.04</v>
      </c>
      <c r="H719">
        <v>0.15</v>
      </c>
      <c r="I719">
        <v>0.1</v>
      </c>
      <c r="J719">
        <v>0.18</v>
      </c>
      <c r="K719">
        <v>60.006</v>
      </c>
      <c r="L719" s="5" t="s">
        <v>19</v>
      </c>
    </row>
    <row r="720" spans="1:12" hidden="1" x14ac:dyDescent="0.3">
      <c r="A720" s="5" t="s">
        <v>25</v>
      </c>
      <c r="B720" s="6">
        <v>0.82171490740740738</v>
      </c>
      <c r="C720">
        <v>4.7</v>
      </c>
      <c r="D720">
        <v>0.01</v>
      </c>
      <c r="E720">
        <v>7.3</v>
      </c>
      <c r="F720">
        <v>0</v>
      </c>
      <c r="G720">
        <v>0.04</v>
      </c>
      <c r="H720">
        <v>0.15</v>
      </c>
      <c r="I720">
        <v>0.1</v>
      </c>
      <c r="J720">
        <v>0.18</v>
      </c>
      <c r="K720">
        <v>60.006999999999998</v>
      </c>
      <c r="L720" s="5" t="s">
        <v>19</v>
      </c>
    </row>
    <row r="721" spans="1:12" hidden="1" x14ac:dyDescent="0.3">
      <c r="A721" s="5" t="s">
        <v>25</v>
      </c>
      <c r="B721" s="6">
        <v>0.82172648148148153</v>
      </c>
      <c r="C721">
        <v>4.95</v>
      </c>
      <c r="D721">
        <v>0.01</v>
      </c>
      <c r="E721">
        <v>7.7</v>
      </c>
      <c r="F721">
        <v>0</v>
      </c>
      <c r="G721">
        <v>0.05</v>
      </c>
      <c r="H721">
        <v>0.14000000000000001</v>
      </c>
      <c r="I721">
        <v>0.1</v>
      </c>
      <c r="J721">
        <v>0.18</v>
      </c>
      <c r="K721">
        <v>60.005000000000003</v>
      </c>
      <c r="L721" s="5" t="s">
        <v>19</v>
      </c>
    </row>
    <row r="722" spans="1:12" hidden="1" x14ac:dyDescent="0.3">
      <c r="A722" s="5" t="s">
        <v>25</v>
      </c>
      <c r="B722" s="6">
        <v>0.82173805555555557</v>
      </c>
      <c r="C722">
        <v>4.74</v>
      </c>
      <c r="D722">
        <v>0.01</v>
      </c>
      <c r="E722">
        <v>7.2</v>
      </c>
      <c r="F722">
        <v>0</v>
      </c>
      <c r="G722">
        <v>0.05</v>
      </c>
      <c r="H722">
        <v>0.14000000000000001</v>
      </c>
      <c r="I722">
        <v>0.1</v>
      </c>
      <c r="J722">
        <v>0.18</v>
      </c>
      <c r="K722">
        <v>60.006999999999998</v>
      </c>
      <c r="L722" s="5" t="s">
        <v>19</v>
      </c>
    </row>
    <row r="723" spans="1:12" hidden="1" x14ac:dyDescent="0.3">
      <c r="A723" s="5" t="s">
        <v>25</v>
      </c>
      <c r="B723" s="6">
        <v>0.82174962962962961</v>
      </c>
      <c r="C723">
        <v>4.8499999999999996</v>
      </c>
      <c r="D723">
        <v>0.01</v>
      </c>
      <c r="E723">
        <v>7.5</v>
      </c>
      <c r="F723">
        <v>0</v>
      </c>
      <c r="G723">
        <v>0.04</v>
      </c>
      <c r="H723">
        <v>0.14000000000000001</v>
      </c>
      <c r="I723">
        <v>0.1</v>
      </c>
      <c r="J723">
        <v>0.18</v>
      </c>
      <c r="K723">
        <v>60.006</v>
      </c>
      <c r="L723" s="5" t="s">
        <v>19</v>
      </c>
    </row>
    <row r="724" spans="1:12" hidden="1" x14ac:dyDescent="0.3">
      <c r="A724" s="5" t="s">
        <v>25</v>
      </c>
      <c r="B724" s="6">
        <v>0.82176120370370376</v>
      </c>
      <c r="C724">
        <v>4.95</v>
      </c>
      <c r="D724">
        <v>0.01</v>
      </c>
      <c r="E724">
        <v>7.6</v>
      </c>
      <c r="F724">
        <v>0</v>
      </c>
      <c r="G724">
        <v>0.04</v>
      </c>
      <c r="H724">
        <v>0.15</v>
      </c>
      <c r="I724">
        <v>0.1</v>
      </c>
      <c r="J724">
        <v>0.18</v>
      </c>
      <c r="K724">
        <v>60.006</v>
      </c>
      <c r="L724" s="5" t="s">
        <v>19</v>
      </c>
    </row>
    <row r="725" spans="1:12" hidden="1" x14ac:dyDescent="0.3">
      <c r="A725" s="5" t="s">
        <v>25</v>
      </c>
      <c r="B725" s="6">
        <v>0.8217727777777778</v>
      </c>
      <c r="C725">
        <v>4.28</v>
      </c>
      <c r="D725">
        <v>0.01</v>
      </c>
      <c r="E725">
        <v>6.7</v>
      </c>
      <c r="F725">
        <v>0</v>
      </c>
      <c r="G725">
        <v>0.04</v>
      </c>
      <c r="H725">
        <v>0.15</v>
      </c>
      <c r="I725">
        <v>0.1</v>
      </c>
      <c r="J725">
        <v>0.18</v>
      </c>
      <c r="K725">
        <v>60.006999999999998</v>
      </c>
      <c r="L725" s="5" t="s">
        <v>19</v>
      </c>
    </row>
    <row r="726" spans="1:12" hidden="1" x14ac:dyDescent="0.3">
      <c r="A726" s="5" t="s">
        <v>25</v>
      </c>
      <c r="B726" s="6">
        <v>0.82178435185185184</v>
      </c>
      <c r="C726">
        <v>4.88</v>
      </c>
      <c r="D726">
        <v>0.01</v>
      </c>
      <c r="E726">
        <v>7.5</v>
      </c>
      <c r="F726">
        <v>0</v>
      </c>
      <c r="G726">
        <v>0.04</v>
      </c>
      <c r="H726">
        <v>0.15</v>
      </c>
      <c r="I726">
        <v>0.1</v>
      </c>
      <c r="J726">
        <v>0.18</v>
      </c>
      <c r="K726">
        <v>60.005000000000003</v>
      </c>
      <c r="L726" s="5" t="s">
        <v>19</v>
      </c>
    </row>
    <row r="727" spans="1:12" hidden="1" x14ac:dyDescent="0.3">
      <c r="A727" s="5" t="s">
        <v>25</v>
      </c>
      <c r="B727" s="6">
        <v>0.82179592592592587</v>
      </c>
      <c r="C727">
        <v>4.71</v>
      </c>
      <c r="D727">
        <v>0.01</v>
      </c>
      <c r="E727">
        <v>7.3</v>
      </c>
      <c r="F727">
        <v>0</v>
      </c>
      <c r="G727">
        <v>0.04</v>
      </c>
      <c r="H727">
        <v>0.15</v>
      </c>
      <c r="I727">
        <v>0.1</v>
      </c>
      <c r="J727">
        <v>0.18</v>
      </c>
      <c r="K727">
        <v>60.006</v>
      </c>
      <c r="L727" s="5" t="s">
        <v>19</v>
      </c>
    </row>
    <row r="728" spans="1:12" hidden="1" x14ac:dyDescent="0.3">
      <c r="A728" s="5" t="s">
        <v>25</v>
      </c>
      <c r="B728" s="6">
        <v>0.82180750000000002</v>
      </c>
      <c r="C728">
        <v>4.88</v>
      </c>
      <c r="D728">
        <v>0.01</v>
      </c>
      <c r="E728">
        <v>7.4</v>
      </c>
      <c r="F728">
        <v>0</v>
      </c>
      <c r="G728">
        <v>0.04</v>
      </c>
      <c r="H728">
        <v>0.15</v>
      </c>
      <c r="I728">
        <v>0.1</v>
      </c>
      <c r="J728">
        <v>0.18</v>
      </c>
      <c r="K728">
        <v>60.003999999999998</v>
      </c>
      <c r="L728" s="5" t="s">
        <v>19</v>
      </c>
    </row>
    <row r="729" spans="1:12" hidden="1" x14ac:dyDescent="0.3">
      <c r="A729" s="5" t="s">
        <v>25</v>
      </c>
      <c r="B729" s="6">
        <v>0.82181907407407406</v>
      </c>
      <c r="C729">
        <v>4.8</v>
      </c>
      <c r="D729">
        <v>0.01</v>
      </c>
      <c r="E729">
        <v>7.3</v>
      </c>
      <c r="F729">
        <v>0</v>
      </c>
      <c r="G729">
        <v>0.05</v>
      </c>
      <c r="H729">
        <v>0.15</v>
      </c>
      <c r="I729">
        <v>0.1</v>
      </c>
      <c r="J729">
        <v>0.18</v>
      </c>
      <c r="K729">
        <v>60.005000000000003</v>
      </c>
      <c r="L729" s="5" t="s">
        <v>19</v>
      </c>
    </row>
    <row r="730" spans="1:12" hidden="1" x14ac:dyDescent="0.3">
      <c r="A730" s="5" t="s">
        <v>25</v>
      </c>
      <c r="B730" s="6">
        <v>0.8218306481481481</v>
      </c>
      <c r="C730">
        <v>4.78</v>
      </c>
      <c r="D730">
        <v>0.01</v>
      </c>
      <c r="E730">
        <v>7.4</v>
      </c>
      <c r="F730">
        <v>0</v>
      </c>
      <c r="G730">
        <v>0.05</v>
      </c>
      <c r="H730">
        <v>0.15</v>
      </c>
      <c r="I730">
        <v>0.1</v>
      </c>
      <c r="J730">
        <v>0.18</v>
      </c>
      <c r="K730">
        <v>60.003</v>
      </c>
      <c r="L730" s="5" t="s">
        <v>19</v>
      </c>
    </row>
    <row r="731" spans="1:12" hidden="1" x14ac:dyDescent="0.3">
      <c r="A731" s="5" t="s">
        <v>25</v>
      </c>
      <c r="B731" s="6">
        <v>0.82184222222222225</v>
      </c>
      <c r="C731">
        <v>4.97</v>
      </c>
      <c r="D731">
        <v>0.01</v>
      </c>
      <c r="E731">
        <v>7.6</v>
      </c>
      <c r="F731">
        <v>0</v>
      </c>
      <c r="G731">
        <v>0.04</v>
      </c>
      <c r="H731">
        <v>0.14000000000000001</v>
      </c>
      <c r="I731">
        <v>0.1</v>
      </c>
      <c r="J731">
        <v>0.18</v>
      </c>
      <c r="K731">
        <v>60.002000000000002</v>
      </c>
      <c r="L731" s="5" t="s">
        <v>19</v>
      </c>
    </row>
    <row r="732" spans="1:12" hidden="1" x14ac:dyDescent="0.3">
      <c r="A732" s="5" t="s">
        <v>25</v>
      </c>
      <c r="B732" s="6">
        <v>0.82185379629629629</v>
      </c>
      <c r="C732">
        <v>4.71</v>
      </c>
      <c r="D732">
        <v>0.01</v>
      </c>
      <c r="E732">
        <v>7.3</v>
      </c>
      <c r="F732">
        <v>0</v>
      </c>
      <c r="G732">
        <v>0.05</v>
      </c>
      <c r="H732">
        <v>0.14000000000000001</v>
      </c>
      <c r="I732">
        <v>0.1</v>
      </c>
      <c r="J732">
        <v>0.18</v>
      </c>
      <c r="K732">
        <v>60.002000000000002</v>
      </c>
      <c r="L732" s="5" t="s">
        <v>19</v>
      </c>
    </row>
    <row r="733" spans="1:12" hidden="1" x14ac:dyDescent="0.3">
      <c r="A733" s="5" t="s">
        <v>25</v>
      </c>
      <c r="B733" s="6">
        <v>0.82186537037037033</v>
      </c>
      <c r="C733">
        <v>5.12</v>
      </c>
      <c r="D733">
        <v>0.01</v>
      </c>
      <c r="E733">
        <v>7.9</v>
      </c>
      <c r="F733">
        <v>0</v>
      </c>
      <c r="G733">
        <v>0.05</v>
      </c>
      <c r="H733">
        <v>0.14000000000000001</v>
      </c>
      <c r="I733">
        <v>0.1</v>
      </c>
      <c r="J733">
        <v>0.18</v>
      </c>
      <c r="K733">
        <v>60.003</v>
      </c>
      <c r="L733" s="5" t="s">
        <v>19</v>
      </c>
    </row>
    <row r="734" spans="1:12" hidden="1" x14ac:dyDescent="0.3">
      <c r="A734" s="5" t="s">
        <v>25</v>
      </c>
      <c r="B734" s="6">
        <v>0.82187694444444448</v>
      </c>
      <c r="C734">
        <v>4.8</v>
      </c>
      <c r="D734">
        <v>0.01</v>
      </c>
      <c r="E734">
        <v>7.4</v>
      </c>
      <c r="F734">
        <v>0</v>
      </c>
      <c r="G734">
        <v>0.05</v>
      </c>
      <c r="H734">
        <v>0.15</v>
      </c>
      <c r="I734">
        <v>0.1</v>
      </c>
      <c r="J734">
        <v>0.18</v>
      </c>
      <c r="K734">
        <v>60.003999999999998</v>
      </c>
      <c r="L734" s="5" t="s">
        <v>19</v>
      </c>
    </row>
    <row r="735" spans="1:12" hidden="1" x14ac:dyDescent="0.3">
      <c r="A735" s="5" t="s">
        <v>25</v>
      </c>
      <c r="B735" s="6">
        <v>0.82188851851851852</v>
      </c>
      <c r="C735">
        <v>4.95</v>
      </c>
      <c r="D735">
        <v>0.01</v>
      </c>
      <c r="E735">
        <v>7.7</v>
      </c>
      <c r="F735">
        <v>0</v>
      </c>
      <c r="G735">
        <v>0.04</v>
      </c>
      <c r="H735">
        <v>0.15</v>
      </c>
      <c r="I735">
        <v>0.1</v>
      </c>
      <c r="J735">
        <v>0.18</v>
      </c>
      <c r="K735">
        <v>60</v>
      </c>
      <c r="L735" s="5" t="s">
        <v>19</v>
      </c>
    </row>
    <row r="736" spans="1:12" hidden="1" x14ac:dyDescent="0.3">
      <c r="A736" s="5" t="s">
        <v>25</v>
      </c>
      <c r="B736" s="6">
        <v>0.82190009259259256</v>
      </c>
      <c r="C736">
        <v>4.96</v>
      </c>
      <c r="D736">
        <v>0.01</v>
      </c>
      <c r="E736">
        <v>7.6</v>
      </c>
      <c r="F736">
        <v>0</v>
      </c>
      <c r="G736">
        <v>0.04</v>
      </c>
      <c r="H736">
        <v>0.15</v>
      </c>
      <c r="I736">
        <v>0.1</v>
      </c>
      <c r="J736">
        <v>0.18</v>
      </c>
      <c r="K736">
        <v>60.002000000000002</v>
      </c>
      <c r="L736" s="5" t="s">
        <v>19</v>
      </c>
    </row>
    <row r="737" spans="1:12" hidden="1" x14ac:dyDescent="0.3">
      <c r="A737" s="5" t="s">
        <v>25</v>
      </c>
      <c r="B737" s="6">
        <v>0.82191166666666671</v>
      </c>
      <c r="C737">
        <v>4.8099999999999996</v>
      </c>
      <c r="D737">
        <v>0.01</v>
      </c>
      <c r="E737">
        <v>7.7</v>
      </c>
      <c r="F737">
        <v>0</v>
      </c>
      <c r="G737">
        <v>0.04</v>
      </c>
      <c r="H737">
        <v>0.15</v>
      </c>
      <c r="I737">
        <v>0.1</v>
      </c>
      <c r="J737">
        <v>0.18</v>
      </c>
      <c r="K737">
        <v>60.000999999999998</v>
      </c>
      <c r="L737" s="5" t="s">
        <v>19</v>
      </c>
    </row>
    <row r="738" spans="1:12" hidden="1" x14ac:dyDescent="0.3">
      <c r="A738" s="5" t="s">
        <v>25</v>
      </c>
      <c r="B738" s="6">
        <v>0.82192324074074075</v>
      </c>
      <c r="C738">
        <v>5.25</v>
      </c>
      <c r="D738">
        <v>0.01</v>
      </c>
      <c r="E738">
        <v>8.1</v>
      </c>
      <c r="F738">
        <v>0</v>
      </c>
      <c r="G738">
        <v>0.05</v>
      </c>
      <c r="H738">
        <v>0.15</v>
      </c>
      <c r="I738">
        <v>0.1</v>
      </c>
      <c r="J738">
        <v>0.18</v>
      </c>
      <c r="K738">
        <v>60.002000000000002</v>
      </c>
      <c r="L738" s="5" t="s">
        <v>19</v>
      </c>
    </row>
    <row r="739" spans="1:12" hidden="1" x14ac:dyDescent="0.3">
      <c r="A739" s="5" t="s">
        <v>25</v>
      </c>
      <c r="B739" s="6">
        <v>0.82193481481481478</v>
      </c>
      <c r="C739">
        <v>4.79</v>
      </c>
      <c r="D739">
        <v>0.01</v>
      </c>
      <c r="E739">
        <v>7.6</v>
      </c>
      <c r="F739">
        <v>0</v>
      </c>
      <c r="G739">
        <v>0.04</v>
      </c>
      <c r="H739">
        <v>0.15</v>
      </c>
      <c r="I739">
        <v>0.1</v>
      </c>
      <c r="J739">
        <v>0.18</v>
      </c>
      <c r="K739">
        <v>60.002000000000002</v>
      </c>
      <c r="L739" s="5" t="s">
        <v>19</v>
      </c>
    </row>
    <row r="740" spans="1:12" hidden="1" x14ac:dyDescent="0.3">
      <c r="A740" s="5" t="s">
        <v>25</v>
      </c>
      <c r="B740" s="6">
        <v>0.82194638888888893</v>
      </c>
      <c r="C740">
        <v>5.63</v>
      </c>
      <c r="D740">
        <v>0.01</v>
      </c>
      <c r="E740">
        <v>8</v>
      </c>
      <c r="F740">
        <v>0</v>
      </c>
      <c r="G740">
        <v>0.05</v>
      </c>
      <c r="H740">
        <v>0.15</v>
      </c>
      <c r="I740">
        <v>0.1</v>
      </c>
      <c r="J740">
        <v>0.18</v>
      </c>
      <c r="K740">
        <v>59.999000000000002</v>
      </c>
      <c r="L740" s="5" t="s">
        <v>19</v>
      </c>
    </row>
    <row r="741" spans="1:12" hidden="1" x14ac:dyDescent="0.3">
      <c r="A741" s="5" t="s">
        <v>25</v>
      </c>
      <c r="B741" s="6">
        <v>0.82195796296296297</v>
      </c>
      <c r="C741">
        <v>5.82</v>
      </c>
      <c r="D741">
        <v>0.01</v>
      </c>
      <c r="E741">
        <v>8</v>
      </c>
      <c r="F741">
        <v>0</v>
      </c>
      <c r="G741">
        <v>0.05</v>
      </c>
      <c r="H741">
        <v>0.15</v>
      </c>
      <c r="I741">
        <v>0.1</v>
      </c>
      <c r="J741">
        <v>0.18</v>
      </c>
      <c r="K741">
        <v>60</v>
      </c>
      <c r="L741" s="5" t="s">
        <v>19</v>
      </c>
    </row>
    <row r="742" spans="1:12" hidden="1" x14ac:dyDescent="0.3">
      <c r="A742" s="5" t="s">
        <v>25</v>
      </c>
      <c r="B742" s="6">
        <v>0.82196953703703701</v>
      </c>
      <c r="C742">
        <v>5.82</v>
      </c>
      <c r="D742">
        <v>0.01</v>
      </c>
      <c r="E742">
        <v>8.1</v>
      </c>
      <c r="F742">
        <v>0</v>
      </c>
      <c r="G742">
        <v>0.04</v>
      </c>
      <c r="H742">
        <v>0.15</v>
      </c>
      <c r="I742">
        <v>0.1</v>
      </c>
      <c r="J742">
        <v>0.18</v>
      </c>
      <c r="K742">
        <v>59.999000000000002</v>
      </c>
      <c r="L742" s="5" t="s">
        <v>19</v>
      </c>
    </row>
    <row r="743" spans="1:12" hidden="1" x14ac:dyDescent="0.3">
      <c r="A743" s="5" t="s">
        <v>25</v>
      </c>
      <c r="B743" s="6">
        <v>0.82198111111111116</v>
      </c>
      <c r="C743">
        <v>6.07</v>
      </c>
      <c r="D743">
        <v>0.01</v>
      </c>
      <c r="E743">
        <v>8.4</v>
      </c>
      <c r="F743">
        <v>0</v>
      </c>
      <c r="G743">
        <v>0.05</v>
      </c>
      <c r="H743">
        <v>0.15</v>
      </c>
      <c r="I743">
        <v>0.1</v>
      </c>
      <c r="J743">
        <v>0.18</v>
      </c>
      <c r="K743">
        <v>59.999000000000002</v>
      </c>
      <c r="L743" s="5" t="s">
        <v>19</v>
      </c>
    </row>
    <row r="744" spans="1:12" hidden="1" x14ac:dyDescent="0.3">
      <c r="A744" s="5" t="s">
        <v>25</v>
      </c>
      <c r="B744" s="6">
        <v>0.8219926851851852</v>
      </c>
      <c r="C744">
        <v>6.07</v>
      </c>
      <c r="D744">
        <v>0.01</v>
      </c>
      <c r="E744">
        <v>8.4</v>
      </c>
      <c r="F744">
        <v>0</v>
      </c>
      <c r="G744">
        <v>0.05</v>
      </c>
      <c r="H744">
        <v>0.14000000000000001</v>
      </c>
      <c r="I744">
        <v>0.1</v>
      </c>
      <c r="J744">
        <v>0.18</v>
      </c>
      <c r="K744">
        <v>59.997999999999998</v>
      </c>
      <c r="L744" s="5" t="s">
        <v>19</v>
      </c>
    </row>
    <row r="745" spans="1:12" hidden="1" x14ac:dyDescent="0.3">
      <c r="A745" s="5" t="s">
        <v>25</v>
      </c>
      <c r="B745" s="6">
        <v>0.82200425925925924</v>
      </c>
      <c r="C745">
        <v>6.07</v>
      </c>
      <c r="D745">
        <v>0.01</v>
      </c>
      <c r="E745">
        <v>8.4</v>
      </c>
      <c r="F745">
        <v>0</v>
      </c>
      <c r="G745">
        <v>0.05</v>
      </c>
      <c r="H745">
        <v>0.15</v>
      </c>
      <c r="I745">
        <v>0.1</v>
      </c>
      <c r="J745">
        <v>0.18</v>
      </c>
      <c r="K745">
        <v>60</v>
      </c>
      <c r="L745" s="5" t="s">
        <v>19</v>
      </c>
    </row>
    <row r="746" spans="1:12" hidden="1" x14ac:dyDescent="0.3">
      <c r="A746" s="5" t="s">
        <v>25</v>
      </c>
      <c r="B746" s="6">
        <v>0.82201583333333328</v>
      </c>
      <c r="C746">
        <v>6.07</v>
      </c>
      <c r="D746">
        <v>0.01</v>
      </c>
      <c r="E746">
        <v>8.4</v>
      </c>
      <c r="F746">
        <v>0</v>
      </c>
      <c r="G746">
        <v>0.05</v>
      </c>
      <c r="H746">
        <v>0.15</v>
      </c>
      <c r="I746">
        <v>0.1</v>
      </c>
      <c r="J746">
        <v>0.18</v>
      </c>
      <c r="K746">
        <v>60</v>
      </c>
      <c r="L746" s="5" t="s">
        <v>19</v>
      </c>
    </row>
    <row r="747" spans="1:12" hidden="1" x14ac:dyDescent="0.3">
      <c r="A747" s="5" t="s">
        <v>25</v>
      </c>
      <c r="B747" s="6">
        <v>0.82202740740740743</v>
      </c>
      <c r="C747">
        <v>6.07</v>
      </c>
      <c r="D747">
        <v>0.01</v>
      </c>
      <c r="E747">
        <v>8.5</v>
      </c>
      <c r="F747">
        <v>0</v>
      </c>
      <c r="G747">
        <v>0.05</v>
      </c>
      <c r="H747">
        <v>0.15</v>
      </c>
      <c r="I747">
        <v>0.1</v>
      </c>
      <c r="J747">
        <v>0.18</v>
      </c>
      <c r="K747">
        <v>60.000999999999998</v>
      </c>
      <c r="L747" s="5" t="s">
        <v>19</v>
      </c>
    </row>
    <row r="748" spans="1:12" hidden="1" x14ac:dyDescent="0.3">
      <c r="A748" s="5" t="s">
        <v>25</v>
      </c>
      <c r="B748" s="6">
        <v>0.82203898148148147</v>
      </c>
      <c r="C748">
        <v>6.21</v>
      </c>
      <c r="D748">
        <v>0.01</v>
      </c>
      <c r="E748">
        <v>8.6999999999999993</v>
      </c>
      <c r="F748">
        <v>0</v>
      </c>
      <c r="G748">
        <v>0.04</v>
      </c>
      <c r="H748">
        <v>0.14000000000000001</v>
      </c>
      <c r="I748">
        <v>0.1</v>
      </c>
      <c r="J748">
        <v>0.18</v>
      </c>
      <c r="K748">
        <v>60.000999999999998</v>
      </c>
      <c r="L748" s="5" t="s">
        <v>19</v>
      </c>
    </row>
    <row r="749" spans="1:12" hidden="1" x14ac:dyDescent="0.3">
      <c r="A749" s="5" t="s">
        <v>25</v>
      </c>
      <c r="B749" s="6">
        <v>0.82205055555555551</v>
      </c>
      <c r="C749">
        <v>6.21</v>
      </c>
      <c r="D749">
        <v>0.01</v>
      </c>
      <c r="E749">
        <v>8.6999999999999993</v>
      </c>
      <c r="F749">
        <v>0</v>
      </c>
      <c r="G749">
        <v>0.04</v>
      </c>
      <c r="H749">
        <v>0.14000000000000001</v>
      </c>
      <c r="I749">
        <v>0.1</v>
      </c>
      <c r="J749">
        <v>0.18</v>
      </c>
      <c r="K749">
        <v>60</v>
      </c>
      <c r="L749" s="5" t="s">
        <v>19</v>
      </c>
    </row>
    <row r="750" spans="1:12" hidden="1" x14ac:dyDescent="0.3">
      <c r="A750" s="5" t="s">
        <v>25</v>
      </c>
      <c r="B750" s="6">
        <v>0.82206212962962966</v>
      </c>
      <c r="C750">
        <v>6.21</v>
      </c>
      <c r="D750">
        <v>0.01</v>
      </c>
      <c r="E750">
        <v>8.6999999999999993</v>
      </c>
      <c r="F750">
        <v>0</v>
      </c>
      <c r="G750">
        <v>0.04</v>
      </c>
      <c r="H750">
        <v>0.15</v>
      </c>
      <c r="I750">
        <v>0.1</v>
      </c>
      <c r="J750">
        <v>0.18</v>
      </c>
      <c r="K750">
        <v>60.003999999999998</v>
      </c>
      <c r="L750" s="5" t="s">
        <v>19</v>
      </c>
    </row>
    <row r="751" spans="1:12" hidden="1" x14ac:dyDescent="0.3">
      <c r="A751" s="5" t="s">
        <v>25</v>
      </c>
      <c r="B751" s="6">
        <v>0.8220737037037037</v>
      </c>
      <c r="C751">
        <v>6.21</v>
      </c>
      <c r="D751">
        <v>0.01</v>
      </c>
      <c r="E751">
        <v>8.6999999999999993</v>
      </c>
      <c r="F751">
        <v>0</v>
      </c>
      <c r="G751">
        <v>0.05</v>
      </c>
      <c r="H751">
        <v>0.15</v>
      </c>
      <c r="I751">
        <v>0.1</v>
      </c>
      <c r="J751">
        <v>0.18</v>
      </c>
      <c r="K751">
        <v>60.005000000000003</v>
      </c>
      <c r="L751" s="5" t="s">
        <v>19</v>
      </c>
    </row>
    <row r="752" spans="1:12" hidden="1" x14ac:dyDescent="0.3">
      <c r="A752" s="5" t="s">
        <v>25</v>
      </c>
      <c r="B752" s="6">
        <v>0.82208527777777773</v>
      </c>
      <c r="C752">
        <v>6.22</v>
      </c>
      <c r="D752">
        <v>0.01</v>
      </c>
      <c r="E752">
        <v>8.6999999999999993</v>
      </c>
      <c r="F752">
        <v>0</v>
      </c>
      <c r="G752">
        <v>0.05</v>
      </c>
      <c r="H752">
        <v>0.14000000000000001</v>
      </c>
      <c r="I752">
        <v>0.1</v>
      </c>
      <c r="J752">
        <v>0.18</v>
      </c>
      <c r="K752">
        <v>60.006</v>
      </c>
      <c r="L752" s="5" t="s">
        <v>19</v>
      </c>
    </row>
    <row r="753" spans="1:12" hidden="1" x14ac:dyDescent="0.3">
      <c r="A753" s="5" t="s">
        <v>25</v>
      </c>
      <c r="B753" s="6">
        <v>0.82209685185185188</v>
      </c>
      <c r="C753">
        <v>6.31</v>
      </c>
      <c r="D753">
        <v>0.01</v>
      </c>
      <c r="E753">
        <v>8.8000000000000007</v>
      </c>
      <c r="F753">
        <v>0</v>
      </c>
      <c r="G753">
        <v>0.05</v>
      </c>
      <c r="H753">
        <v>0.15</v>
      </c>
      <c r="I753">
        <v>0.1</v>
      </c>
      <c r="J753">
        <v>0.18</v>
      </c>
      <c r="K753">
        <v>60.006</v>
      </c>
      <c r="L753" s="5" t="s">
        <v>19</v>
      </c>
    </row>
    <row r="754" spans="1:12" hidden="1" x14ac:dyDescent="0.3">
      <c r="A754" s="5" t="s">
        <v>25</v>
      </c>
      <c r="B754" s="6">
        <v>0.82210842592592592</v>
      </c>
      <c r="C754">
        <v>6.31</v>
      </c>
      <c r="D754">
        <v>0.01</v>
      </c>
      <c r="E754">
        <v>8.8000000000000007</v>
      </c>
      <c r="F754">
        <v>0</v>
      </c>
      <c r="G754">
        <v>0.05</v>
      </c>
      <c r="H754">
        <v>0.15</v>
      </c>
      <c r="I754">
        <v>0.1</v>
      </c>
      <c r="J754">
        <v>0.18</v>
      </c>
      <c r="K754">
        <v>60.006</v>
      </c>
      <c r="L754" s="5" t="s">
        <v>19</v>
      </c>
    </row>
    <row r="755" spans="1:12" hidden="1" x14ac:dyDescent="0.3">
      <c r="A755" s="5" t="s">
        <v>25</v>
      </c>
      <c r="B755" s="6">
        <v>0.82211999999999996</v>
      </c>
      <c r="C755">
        <v>6.31</v>
      </c>
      <c r="D755">
        <v>0.01</v>
      </c>
      <c r="E755">
        <v>8.8000000000000007</v>
      </c>
      <c r="F755">
        <v>0</v>
      </c>
      <c r="G755">
        <v>0.05</v>
      </c>
      <c r="H755">
        <v>0.15</v>
      </c>
      <c r="I755">
        <v>0.1</v>
      </c>
      <c r="J755">
        <v>0.18</v>
      </c>
      <c r="K755">
        <v>60.006</v>
      </c>
      <c r="L755" s="5" t="s">
        <v>19</v>
      </c>
    </row>
    <row r="756" spans="1:12" hidden="1" x14ac:dyDescent="0.3">
      <c r="A756" s="5" t="s">
        <v>25</v>
      </c>
      <c r="B756" s="6">
        <v>0.82213157407407411</v>
      </c>
      <c r="C756">
        <v>6.31</v>
      </c>
      <c r="D756">
        <v>0.01</v>
      </c>
      <c r="E756">
        <v>8.8000000000000007</v>
      </c>
      <c r="F756">
        <v>0</v>
      </c>
      <c r="G756">
        <v>0.04</v>
      </c>
      <c r="H756">
        <v>0.15</v>
      </c>
      <c r="I756">
        <v>0.1</v>
      </c>
      <c r="J756">
        <v>0.18</v>
      </c>
      <c r="K756">
        <v>60.006999999999998</v>
      </c>
      <c r="L756" s="5" t="s">
        <v>19</v>
      </c>
    </row>
    <row r="757" spans="1:12" hidden="1" x14ac:dyDescent="0.3">
      <c r="A757" s="5" t="s">
        <v>25</v>
      </c>
      <c r="B757" s="6">
        <v>0.82214314814814815</v>
      </c>
      <c r="C757">
        <v>6.34</v>
      </c>
      <c r="D757">
        <v>0.01</v>
      </c>
      <c r="E757">
        <v>8.9</v>
      </c>
      <c r="F757">
        <v>0</v>
      </c>
      <c r="G757">
        <v>0.04</v>
      </c>
      <c r="H757">
        <v>0.15</v>
      </c>
      <c r="I757">
        <v>0.1</v>
      </c>
      <c r="J757">
        <v>0.18</v>
      </c>
      <c r="K757">
        <v>60.006999999999998</v>
      </c>
      <c r="L757" s="5" t="s">
        <v>19</v>
      </c>
    </row>
    <row r="758" spans="1:12" hidden="1" x14ac:dyDescent="0.3">
      <c r="A758" s="5" t="s">
        <v>25</v>
      </c>
      <c r="B758" s="6">
        <v>0.82215472222222219</v>
      </c>
      <c r="C758">
        <v>6.47</v>
      </c>
      <c r="D758">
        <v>0.01</v>
      </c>
      <c r="E758">
        <v>9</v>
      </c>
      <c r="F758">
        <v>0</v>
      </c>
      <c r="G758">
        <v>0.04</v>
      </c>
      <c r="H758">
        <v>0.15</v>
      </c>
      <c r="I758">
        <v>0.1</v>
      </c>
      <c r="J758">
        <v>0.18</v>
      </c>
      <c r="K758">
        <v>60.006999999999998</v>
      </c>
      <c r="L758" s="5" t="s">
        <v>19</v>
      </c>
    </row>
    <row r="759" spans="1:12" hidden="1" x14ac:dyDescent="0.3">
      <c r="A759" s="5" t="s">
        <v>25</v>
      </c>
      <c r="B759" s="6">
        <v>0.82216629629629634</v>
      </c>
      <c r="C759">
        <v>6.47</v>
      </c>
      <c r="D759">
        <v>0.01</v>
      </c>
      <c r="E759">
        <v>9</v>
      </c>
      <c r="F759">
        <v>0</v>
      </c>
      <c r="G759">
        <v>0.04</v>
      </c>
      <c r="H759">
        <v>0.15</v>
      </c>
      <c r="I759">
        <v>0.1</v>
      </c>
      <c r="J759">
        <v>0.18</v>
      </c>
      <c r="K759">
        <v>60.006999999999998</v>
      </c>
      <c r="L759" s="5" t="s">
        <v>19</v>
      </c>
    </row>
    <row r="760" spans="1:12" hidden="1" x14ac:dyDescent="0.3">
      <c r="A760" s="5" t="s">
        <v>25</v>
      </c>
      <c r="B760" s="6">
        <v>0.82217787037037038</v>
      </c>
      <c r="C760">
        <v>6.47</v>
      </c>
      <c r="D760">
        <v>0.01</v>
      </c>
      <c r="E760">
        <v>9</v>
      </c>
      <c r="F760">
        <v>0</v>
      </c>
      <c r="G760">
        <v>0.04</v>
      </c>
      <c r="H760">
        <v>0.15</v>
      </c>
      <c r="I760">
        <v>0.1</v>
      </c>
      <c r="J760">
        <v>0.18</v>
      </c>
      <c r="K760">
        <v>60.006999999999998</v>
      </c>
      <c r="L760" s="5" t="s">
        <v>19</v>
      </c>
    </row>
    <row r="761" spans="1:12" hidden="1" x14ac:dyDescent="0.3">
      <c r="A761" s="5" t="s">
        <v>25</v>
      </c>
      <c r="B761" s="6">
        <v>0.82218944444444442</v>
      </c>
      <c r="C761">
        <v>6.47</v>
      </c>
      <c r="D761">
        <v>0.01</v>
      </c>
      <c r="E761">
        <v>9</v>
      </c>
      <c r="F761">
        <v>0</v>
      </c>
      <c r="G761">
        <v>0.04</v>
      </c>
      <c r="H761">
        <v>0.15</v>
      </c>
      <c r="I761">
        <v>0.1</v>
      </c>
      <c r="J761">
        <v>0.18</v>
      </c>
      <c r="K761">
        <v>60.006999999999998</v>
      </c>
      <c r="L761" s="5" t="s">
        <v>19</v>
      </c>
    </row>
    <row r="762" spans="1:12" hidden="1" x14ac:dyDescent="0.3">
      <c r="A762" s="5" t="s">
        <v>25</v>
      </c>
      <c r="B762" s="6">
        <v>0.82220101851851857</v>
      </c>
      <c r="C762">
        <v>6.5</v>
      </c>
      <c r="D762">
        <v>0.01</v>
      </c>
      <c r="E762">
        <v>9.1</v>
      </c>
      <c r="F762">
        <v>0</v>
      </c>
      <c r="G762">
        <v>0.04</v>
      </c>
      <c r="H762">
        <v>0.15</v>
      </c>
      <c r="I762">
        <v>0.1</v>
      </c>
      <c r="J762">
        <v>0.18</v>
      </c>
      <c r="K762">
        <v>60.006999999999998</v>
      </c>
      <c r="L762" s="5" t="s">
        <v>19</v>
      </c>
    </row>
    <row r="763" spans="1:12" hidden="1" x14ac:dyDescent="0.3">
      <c r="A763" s="5" t="s">
        <v>25</v>
      </c>
      <c r="B763" s="6">
        <v>0.82221259259259261</v>
      </c>
      <c r="C763">
        <v>6.61</v>
      </c>
      <c r="D763">
        <v>0.01</v>
      </c>
      <c r="E763">
        <v>9.1999999999999993</v>
      </c>
      <c r="F763">
        <v>0</v>
      </c>
      <c r="G763">
        <v>0.04</v>
      </c>
      <c r="H763">
        <v>0.15</v>
      </c>
      <c r="I763">
        <v>0.1</v>
      </c>
      <c r="J763">
        <v>0.18</v>
      </c>
      <c r="K763">
        <v>60.006999999999998</v>
      </c>
      <c r="L763" s="5" t="s">
        <v>19</v>
      </c>
    </row>
    <row r="764" spans="1:12" hidden="1" x14ac:dyDescent="0.3">
      <c r="A764" s="5" t="s">
        <v>25</v>
      </c>
      <c r="B764" s="6">
        <v>0.82222416666666664</v>
      </c>
      <c r="C764">
        <v>6.61</v>
      </c>
      <c r="D764">
        <v>0.01</v>
      </c>
      <c r="E764">
        <v>9.1999999999999993</v>
      </c>
      <c r="F764">
        <v>0</v>
      </c>
      <c r="G764">
        <v>0.05</v>
      </c>
      <c r="H764">
        <v>0.15</v>
      </c>
      <c r="I764">
        <v>0.1</v>
      </c>
      <c r="J764">
        <v>0.18</v>
      </c>
      <c r="K764">
        <v>60.006999999999998</v>
      </c>
      <c r="L764" s="5" t="s">
        <v>19</v>
      </c>
    </row>
    <row r="765" spans="1:12" hidden="1" x14ac:dyDescent="0.3">
      <c r="A765" s="5" t="s">
        <v>25</v>
      </c>
      <c r="B765" s="6">
        <v>0.82223574074074079</v>
      </c>
      <c r="C765">
        <v>6.61</v>
      </c>
      <c r="D765">
        <v>0.01</v>
      </c>
      <c r="E765">
        <v>9.1999999999999993</v>
      </c>
      <c r="F765">
        <v>0</v>
      </c>
      <c r="G765">
        <v>0.05</v>
      </c>
      <c r="H765">
        <v>0.15</v>
      </c>
      <c r="I765">
        <v>0.1</v>
      </c>
      <c r="J765">
        <v>0.18</v>
      </c>
      <c r="K765">
        <v>60.006999999999998</v>
      </c>
      <c r="L765" s="5" t="s">
        <v>19</v>
      </c>
    </row>
    <row r="766" spans="1:12" hidden="1" x14ac:dyDescent="0.3">
      <c r="A766" s="5" t="s">
        <v>25</v>
      </c>
      <c r="B766" s="6">
        <v>0.82224731481481483</v>
      </c>
      <c r="C766">
        <v>6.61</v>
      </c>
      <c r="D766">
        <v>0.01</v>
      </c>
      <c r="E766">
        <v>9.1999999999999993</v>
      </c>
      <c r="F766">
        <v>0</v>
      </c>
      <c r="G766">
        <v>0.04</v>
      </c>
      <c r="H766">
        <v>0.15</v>
      </c>
      <c r="I766">
        <v>0.1</v>
      </c>
      <c r="J766">
        <v>0.18</v>
      </c>
      <c r="K766">
        <v>60.006999999999998</v>
      </c>
      <c r="L766" s="5" t="s">
        <v>19</v>
      </c>
    </row>
    <row r="767" spans="1:12" hidden="1" x14ac:dyDescent="0.3">
      <c r="A767" s="5" t="s">
        <v>25</v>
      </c>
      <c r="B767" s="6">
        <v>0.82225888888888887</v>
      </c>
      <c r="C767">
        <v>6.64</v>
      </c>
      <c r="D767">
        <v>0.01</v>
      </c>
      <c r="E767">
        <v>9.3000000000000007</v>
      </c>
      <c r="F767">
        <v>0</v>
      </c>
      <c r="G767">
        <v>0.04</v>
      </c>
      <c r="H767">
        <v>0.15</v>
      </c>
      <c r="I767">
        <v>0.1</v>
      </c>
      <c r="J767">
        <v>0.18</v>
      </c>
      <c r="K767">
        <v>60.008000000000003</v>
      </c>
      <c r="L767" s="5" t="s">
        <v>19</v>
      </c>
    </row>
    <row r="768" spans="1:12" hidden="1" x14ac:dyDescent="0.3">
      <c r="A768" s="5" t="s">
        <v>25</v>
      </c>
      <c r="B768" s="6">
        <v>0.82227046296296291</v>
      </c>
      <c r="C768">
        <v>6.77</v>
      </c>
      <c r="D768">
        <v>0.01</v>
      </c>
      <c r="E768">
        <v>9.5</v>
      </c>
      <c r="F768">
        <v>0</v>
      </c>
      <c r="G768">
        <v>0.04</v>
      </c>
      <c r="H768">
        <v>0.15</v>
      </c>
      <c r="I768">
        <v>0.1</v>
      </c>
      <c r="J768">
        <v>0.18</v>
      </c>
      <c r="K768">
        <v>60.008000000000003</v>
      </c>
      <c r="L768" s="5" t="s">
        <v>19</v>
      </c>
    </row>
    <row r="769" spans="1:12" hidden="1" x14ac:dyDescent="0.3">
      <c r="A769" s="5" t="s">
        <v>25</v>
      </c>
      <c r="B769" s="6">
        <v>0.82228203703703706</v>
      </c>
      <c r="C769">
        <v>6.77</v>
      </c>
      <c r="D769">
        <v>0.01</v>
      </c>
      <c r="E769">
        <v>9.5</v>
      </c>
      <c r="F769">
        <v>0</v>
      </c>
      <c r="G769">
        <v>0.04</v>
      </c>
      <c r="H769">
        <v>0.15</v>
      </c>
      <c r="I769">
        <v>0.1</v>
      </c>
      <c r="J769">
        <v>0.18</v>
      </c>
      <c r="K769">
        <v>60.009</v>
      </c>
      <c r="L769" s="5" t="s">
        <v>19</v>
      </c>
    </row>
    <row r="770" spans="1:12" hidden="1" x14ac:dyDescent="0.3">
      <c r="A770" s="5" t="s">
        <v>25</v>
      </c>
      <c r="B770" s="6">
        <v>0.8222936111111111</v>
      </c>
      <c r="C770">
        <v>6.77</v>
      </c>
      <c r="D770">
        <v>0.01</v>
      </c>
      <c r="E770">
        <v>9.5</v>
      </c>
      <c r="F770">
        <v>0</v>
      </c>
      <c r="G770">
        <v>0.04</v>
      </c>
      <c r="H770">
        <v>0.15</v>
      </c>
      <c r="I770">
        <v>0.1</v>
      </c>
      <c r="J770">
        <v>0.18</v>
      </c>
      <c r="K770">
        <v>60.009</v>
      </c>
      <c r="L770" s="5" t="s">
        <v>19</v>
      </c>
    </row>
    <row r="771" spans="1:12" hidden="1" x14ac:dyDescent="0.3">
      <c r="A771" s="5" t="s">
        <v>25</v>
      </c>
      <c r="B771" s="6">
        <v>0.82230518518518514</v>
      </c>
      <c r="C771">
        <v>6.77</v>
      </c>
      <c r="D771">
        <v>0.01</v>
      </c>
      <c r="E771">
        <v>9.5</v>
      </c>
      <c r="F771">
        <v>0</v>
      </c>
      <c r="G771">
        <v>0.04</v>
      </c>
      <c r="H771">
        <v>0.15</v>
      </c>
      <c r="I771">
        <v>0.1</v>
      </c>
      <c r="J771">
        <v>0.18</v>
      </c>
      <c r="K771">
        <v>60.01</v>
      </c>
      <c r="L771" s="5" t="s">
        <v>19</v>
      </c>
    </row>
    <row r="772" spans="1:12" hidden="1" x14ac:dyDescent="0.3">
      <c r="A772" s="5" t="s">
        <v>25</v>
      </c>
      <c r="B772" s="6">
        <v>0.82231675925925929</v>
      </c>
      <c r="C772">
        <v>6.77</v>
      </c>
      <c r="D772">
        <v>0.01</v>
      </c>
      <c r="E772">
        <v>9.5</v>
      </c>
      <c r="F772">
        <v>0</v>
      </c>
      <c r="G772">
        <v>0.04</v>
      </c>
      <c r="H772">
        <v>0.15</v>
      </c>
      <c r="I772">
        <v>0.1</v>
      </c>
      <c r="J772">
        <v>0.18</v>
      </c>
      <c r="K772">
        <v>60.011000000000003</v>
      </c>
      <c r="L772" s="5" t="s">
        <v>19</v>
      </c>
    </row>
    <row r="773" spans="1:12" hidden="1" x14ac:dyDescent="0.3">
      <c r="A773" s="5" t="s">
        <v>25</v>
      </c>
      <c r="B773" s="6">
        <v>0.82232833333333333</v>
      </c>
      <c r="C773">
        <v>6.77</v>
      </c>
      <c r="D773">
        <v>0.01</v>
      </c>
      <c r="E773">
        <v>9.5</v>
      </c>
      <c r="F773">
        <v>0</v>
      </c>
      <c r="G773">
        <v>0.04</v>
      </c>
      <c r="H773">
        <v>0.15</v>
      </c>
      <c r="I773">
        <v>0.1</v>
      </c>
      <c r="J773">
        <v>0.18</v>
      </c>
      <c r="K773">
        <v>60.012</v>
      </c>
      <c r="L773" s="5" t="s">
        <v>19</v>
      </c>
    </row>
    <row r="774" spans="1:12" hidden="1" x14ac:dyDescent="0.3">
      <c r="A774" s="5" t="s">
        <v>25</v>
      </c>
      <c r="B774" s="6">
        <v>0.82233990740740737</v>
      </c>
      <c r="C774">
        <v>6.77</v>
      </c>
      <c r="D774">
        <v>0.01</v>
      </c>
      <c r="E774">
        <v>9.5</v>
      </c>
      <c r="F774">
        <v>0</v>
      </c>
      <c r="G774">
        <v>0.04</v>
      </c>
      <c r="H774">
        <v>0.15</v>
      </c>
      <c r="I774">
        <v>0.1</v>
      </c>
      <c r="J774">
        <v>0.18</v>
      </c>
      <c r="K774">
        <v>60.012999999999998</v>
      </c>
      <c r="L774" s="5" t="s">
        <v>19</v>
      </c>
    </row>
    <row r="775" spans="1:12" hidden="1" x14ac:dyDescent="0.3">
      <c r="A775" s="5" t="s">
        <v>25</v>
      </c>
      <c r="B775" s="6">
        <v>0.82235148148148152</v>
      </c>
      <c r="C775">
        <v>6.77</v>
      </c>
      <c r="D775">
        <v>0.01</v>
      </c>
      <c r="E775">
        <v>9.5</v>
      </c>
      <c r="F775">
        <v>0</v>
      </c>
      <c r="G775">
        <v>0.05</v>
      </c>
      <c r="H775">
        <v>0.15</v>
      </c>
      <c r="I775">
        <v>0.1</v>
      </c>
      <c r="J775">
        <v>0.18</v>
      </c>
      <c r="K775">
        <v>60.014000000000003</v>
      </c>
      <c r="L775" s="5" t="s">
        <v>19</v>
      </c>
    </row>
    <row r="776" spans="1:12" hidden="1" x14ac:dyDescent="0.3">
      <c r="A776" s="5" t="s">
        <v>25</v>
      </c>
      <c r="B776" s="6">
        <v>0.82236305555555556</v>
      </c>
      <c r="C776">
        <v>6.77</v>
      </c>
      <c r="D776">
        <v>0.01</v>
      </c>
      <c r="E776">
        <v>9.5</v>
      </c>
      <c r="F776">
        <v>0</v>
      </c>
      <c r="G776">
        <v>0.05</v>
      </c>
      <c r="H776">
        <v>0.15</v>
      </c>
      <c r="I776">
        <v>0.1</v>
      </c>
      <c r="J776">
        <v>0.18</v>
      </c>
      <c r="K776">
        <v>60.014000000000003</v>
      </c>
      <c r="L776" s="5" t="s">
        <v>19</v>
      </c>
    </row>
    <row r="777" spans="1:12" hidden="1" x14ac:dyDescent="0.3">
      <c r="A777" s="5" t="s">
        <v>25</v>
      </c>
      <c r="B777" s="6">
        <v>0.82237462962962959</v>
      </c>
      <c r="C777">
        <v>6.77</v>
      </c>
      <c r="D777">
        <v>0.01</v>
      </c>
      <c r="E777">
        <v>9.5</v>
      </c>
      <c r="F777">
        <v>0</v>
      </c>
      <c r="G777">
        <v>0.05</v>
      </c>
      <c r="H777">
        <v>0.15</v>
      </c>
      <c r="I777">
        <v>0.1</v>
      </c>
      <c r="J777">
        <v>0.18</v>
      </c>
      <c r="K777">
        <v>60.015000000000001</v>
      </c>
      <c r="L777" s="5" t="s">
        <v>19</v>
      </c>
    </row>
    <row r="778" spans="1:12" hidden="1" x14ac:dyDescent="0.3">
      <c r="A778" s="5" t="s">
        <v>25</v>
      </c>
      <c r="B778" s="6">
        <v>0.82238620370370374</v>
      </c>
      <c r="C778">
        <v>6.77</v>
      </c>
      <c r="D778">
        <v>0.01</v>
      </c>
      <c r="E778">
        <v>9.5</v>
      </c>
      <c r="F778">
        <v>0</v>
      </c>
      <c r="G778">
        <v>0.04</v>
      </c>
      <c r="H778">
        <v>0.15</v>
      </c>
      <c r="I778">
        <v>0.1</v>
      </c>
      <c r="J778">
        <v>0.18</v>
      </c>
      <c r="K778">
        <v>60.015000000000001</v>
      </c>
      <c r="L778" s="5" t="s">
        <v>19</v>
      </c>
    </row>
    <row r="779" spans="1:12" hidden="1" x14ac:dyDescent="0.3">
      <c r="A779" s="5" t="s">
        <v>25</v>
      </c>
      <c r="B779" s="6">
        <v>0.82239777777777778</v>
      </c>
      <c r="C779">
        <v>6.77</v>
      </c>
      <c r="D779">
        <v>0.01</v>
      </c>
      <c r="E779">
        <v>9.5</v>
      </c>
      <c r="F779">
        <v>0</v>
      </c>
      <c r="G779">
        <v>0.05</v>
      </c>
      <c r="H779">
        <v>0.15</v>
      </c>
      <c r="I779">
        <v>0.1</v>
      </c>
      <c r="J779">
        <v>0.18</v>
      </c>
      <c r="K779">
        <v>60.015000000000001</v>
      </c>
      <c r="L779" s="5" t="s">
        <v>19</v>
      </c>
    </row>
    <row r="780" spans="1:12" hidden="1" x14ac:dyDescent="0.3">
      <c r="A780" s="5" t="s">
        <v>25</v>
      </c>
      <c r="B780" s="6">
        <v>0.82240935185185182</v>
      </c>
      <c r="C780">
        <v>6.77</v>
      </c>
      <c r="D780">
        <v>0.01</v>
      </c>
      <c r="E780">
        <v>9.5</v>
      </c>
      <c r="F780">
        <v>0</v>
      </c>
      <c r="G780">
        <v>0.05</v>
      </c>
      <c r="H780">
        <v>0.15</v>
      </c>
      <c r="I780">
        <v>0.1</v>
      </c>
      <c r="J780">
        <v>0.18</v>
      </c>
      <c r="K780">
        <v>60.015000000000001</v>
      </c>
      <c r="L780" s="5" t="s">
        <v>19</v>
      </c>
    </row>
    <row r="781" spans="1:12" hidden="1" x14ac:dyDescent="0.3">
      <c r="A781" s="5" t="s">
        <v>25</v>
      </c>
      <c r="B781" s="6">
        <v>0.82242092592592597</v>
      </c>
      <c r="C781">
        <v>6.77</v>
      </c>
      <c r="D781">
        <v>0.01</v>
      </c>
      <c r="E781">
        <v>9.5</v>
      </c>
      <c r="F781">
        <v>0</v>
      </c>
      <c r="G781">
        <v>0.05</v>
      </c>
      <c r="H781">
        <v>0.15</v>
      </c>
      <c r="I781">
        <v>0.1</v>
      </c>
      <c r="J781">
        <v>0.18</v>
      </c>
      <c r="K781">
        <v>60.014000000000003</v>
      </c>
      <c r="L781" s="5" t="s">
        <v>19</v>
      </c>
    </row>
    <row r="782" spans="1:12" hidden="1" x14ac:dyDescent="0.3">
      <c r="A782" s="5" t="s">
        <v>25</v>
      </c>
      <c r="B782" s="6">
        <v>0.82243250000000001</v>
      </c>
      <c r="C782">
        <v>6.77</v>
      </c>
      <c r="D782">
        <v>0.01</v>
      </c>
      <c r="E782">
        <v>9.5</v>
      </c>
      <c r="F782">
        <v>0</v>
      </c>
      <c r="G782">
        <v>0.05</v>
      </c>
      <c r="H782">
        <v>0.15</v>
      </c>
      <c r="I782">
        <v>0.1</v>
      </c>
      <c r="J782">
        <v>0.18</v>
      </c>
      <c r="K782">
        <v>60.014000000000003</v>
      </c>
      <c r="L782" s="5" t="s">
        <v>19</v>
      </c>
    </row>
    <row r="783" spans="1:12" hidden="1" x14ac:dyDescent="0.3">
      <c r="A783" s="5" t="s">
        <v>25</v>
      </c>
      <c r="B783" s="6">
        <v>0.82244407407407405</v>
      </c>
      <c r="C783">
        <v>6.77</v>
      </c>
      <c r="D783">
        <v>0.01</v>
      </c>
      <c r="E783">
        <v>9.5</v>
      </c>
      <c r="F783">
        <v>0</v>
      </c>
      <c r="G783">
        <v>0.05</v>
      </c>
      <c r="H783">
        <v>0.15</v>
      </c>
      <c r="I783">
        <v>0.1</v>
      </c>
      <c r="J783">
        <v>0.18</v>
      </c>
      <c r="K783">
        <v>60.012999999999998</v>
      </c>
      <c r="L783" s="5" t="s">
        <v>19</v>
      </c>
    </row>
    <row r="784" spans="1:12" hidden="1" x14ac:dyDescent="0.3">
      <c r="A784" s="5" t="s">
        <v>25</v>
      </c>
      <c r="B784" s="6">
        <v>0.8224556481481482</v>
      </c>
      <c r="C784">
        <v>6.77</v>
      </c>
      <c r="D784">
        <v>0.01</v>
      </c>
      <c r="E784">
        <v>9.5</v>
      </c>
      <c r="F784">
        <v>0</v>
      </c>
      <c r="G784">
        <v>0.05</v>
      </c>
      <c r="H784">
        <v>0.15</v>
      </c>
      <c r="I784">
        <v>0.1</v>
      </c>
      <c r="J784">
        <v>0.18</v>
      </c>
      <c r="K784">
        <v>60.012999999999998</v>
      </c>
      <c r="L784" s="5" t="s">
        <v>19</v>
      </c>
    </row>
    <row r="785" spans="1:12" hidden="1" x14ac:dyDescent="0.3">
      <c r="A785" s="5" t="s">
        <v>25</v>
      </c>
      <c r="B785" s="6">
        <v>0.82246722222222224</v>
      </c>
      <c r="C785">
        <v>6.77</v>
      </c>
      <c r="D785">
        <v>0.01</v>
      </c>
      <c r="E785">
        <v>9.5</v>
      </c>
      <c r="F785">
        <v>0</v>
      </c>
      <c r="G785">
        <v>0.05</v>
      </c>
      <c r="H785">
        <v>0.15</v>
      </c>
      <c r="I785">
        <v>0.1</v>
      </c>
      <c r="J785">
        <v>0.18</v>
      </c>
      <c r="K785">
        <v>60.012</v>
      </c>
      <c r="L785" s="5" t="s">
        <v>19</v>
      </c>
    </row>
    <row r="786" spans="1:12" hidden="1" x14ac:dyDescent="0.3">
      <c r="A786" s="5" t="s">
        <v>25</v>
      </c>
      <c r="B786" s="6">
        <v>0.82247879629629628</v>
      </c>
      <c r="C786">
        <v>6.77</v>
      </c>
      <c r="D786">
        <v>0.01</v>
      </c>
      <c r="E786">
        <v>9.5</v>
      </c>
      <c r="F786">
        <v>0</v>
      </c>
      <c r="G786">
        <v>0.05</v>
      </c>
      <c r="H786">
        <v>0.15</v>
      </c>
      <c r="I786">
        <v>0.1</v>
      </c>
      <c r="J786">
        <v>0.18</v>
      </c>
      <c r="K786">
        <v>60.011000000000003</v>
      </c>
      <c r="L786" s="5" t="s">
        <v>19</v>
      </c>
    </row>
    <row r="787" spans="1:12" hidden="1" x14ac:dyDescent="0.3">
      <c r="A787" s="5" t="s">
        <v>25</v>
      </c>
      <c r="B787" s="6">
        <v>0.82249037037037032</v>
      </c>
      <c r="C787">
        <v>6.77</v>
      </c>
      <c r="D787">
        <v>0.01</v>
      </c>
      <c r="E787">
        <v>9.5</v>
      </c>
      <c r="F787">
        <v>0</v>
      </c>
      <c r="G787">
        <v>0.05</v>
      </c>
      <c r="H787">
        <v>0.15</v>
      </c>
      <c r="I787">
        <v>0.1</v>
      </c>
      <c r="J787">
        <v>0.18</v>
      </c>
      <c r="K787">
        <v>60.011000000000003</v>
      </c>
      <c r="L787" s="5" t="s">
        <v>19</v>
      </c>
    </row>
    <row r="788" spans="1:12" hidden="1" x14ac:dyDescent="0.3">
      <c r="A788" s="5" t="s">
        <v>25</v>
      </c>
      <c r="B788" s="6">
        <v>0.82250194444444447</v>
      </c>
      <c r="C788">
        <v>6.77</v>
      </c>
      <c r="D788">
        <v>0.01</v>
      </c>
      <c r="E788">
        <v>9.5</v>
      </c>
      <c r="F788">
        <v>0</v>
      </c>
      <c r="G788">
        <v>0.05</v>
      </c>
      <c r="H788">
        <v>0.15</v>
      </c>
      <c r="I788">
        <v>0.1</v>
      </c>
      <c r="J788">
        <v>0.18</v>
      </c>
      <c r="K788">
        <v>60.01</v>
      </c>
      <c r="L788" s="5" t="s">
        <v>19</v>
      </c>
    </row>
    <row r="789" spans="1:12" hidden="1" x14ac:dyDescent="0.3">
      <c r="A789" s="5" t="s">
        <v>25</v>
      </c>
      <c r="B789" s="6">
        <v>0.8225135185185185</v>
      </c>
      <c r="C789">
        <v>6.77</v>
      </c>
      <c r="D789">
        <v>0.01</v>
      </c>
      <c r="E789">
        <v>9.5</v>
      </c>
      <c r="F789">
        <v>0</v>
      </c>
      <c r="G789">
        <v>0.05</v>
      </c>
      <c r="H789">
        <v>0.15</v>
      </c>
      <c r="I789">
        <v>0.1</v>
      </c>
      <c r="J789">
        <v>0.18</v>
      </c>
      <c r="K789">
        <v>60.01</v>
      </c>
      <c r="L789" s="5" t="s">
        <v>19</v>
      </c>
    </row>
    <row r="790" spans="1:12" hidden="1" x14ac:dyDescent="0.3">
      <c r="A790" s="5" t="s">
        <v>25</v>
      </c>
      <c r="B790" s="6">
        <v>0.82252509259259254</v>
      </c>
      <c r="C790">
        <v>6.77</v>
      </c>
      <c r="D790">
        <v>0.01</v>
      </c>
      <c r="E790">
        <v>9.5</v>
      </c>
      <c r="F790">
        <v>0</v>
      </c>
      <c r="G790">
        <v>0.05</v>
      </c>
      <c r="H790">
        <v>0.15</v>
      </c>
      <c r="I790">
        <v>0.1</v>
      </c>
      <c r="J790">
        <v>0.18</v>
      </c>
      <c r="K790">
        <v>60.01</v>
      </c>
      <c r="L790" s="5" t="s">
        <v>19</v>
      </c>
    </row>
    <row r="791" spans="1:12" hidden="1" x14ac:dyDescent="0.3">
      <c r="A791" s="5" t="s">
        <v>25</v>
      </c>
      <c r="B791" s="6">
        <v>0.82253666666666669</v>
      </c>
      <c r="C791">
        <v>6.77</v>
      </c>
      <c r="D791">
        <v>0.01</v>
      </c>
      <c r="E791">
        <v>9.5</v>
      </c>
      <c r="F791">
        <v>0</v>
      </c>
      <c r="G791">
        <v>0.05</v>
      </c>
      <c r="H791">
        <v>0.15</v>
      </c>
      <c r="I791">
        <v>0.1</v>
      </c>
      <c r="J791">
        <v>0.18</v>
      </c>
      <c r="K791">
        <v>60.01</v>
      </c>
      <c r="L791" s="5" t="s">
        <v>19</v>
      </c>
    </row>
    <row r="792" spans="1:12" hidden="1" x14ac:dyDescent="0.3">
      <c r="A792" s="5" t="s">
        <v>25</v>
      </c>
      <c r="B792" s="6">
        <v>0.82254824074074073</v>
      </c>
      <c r="C792">
        <v>6.77</v>
      </c>
      <c r="D792">
        <v>0.01</v>
      </c>
      <c r="E792">
        <v>9.5</v>
      </c>
      <c r="F792">
        <v>0</v>
      </c>
      <c r="G792">
        <v>0.05</v>
      </c>
      <c r="H792">
        <v>0.15</v>
      </c>
      <c r="I792">
        <v>0.1</v>
      </c>
      <c r="J792">
        <v>0.18</v>
      </c>
      <c r="K792">
        <v>60.01</v>
      </c>
      <c r="L792" s="5" t="s">
        <v>19</v>
      </c>
    </row>
    <row r="793" spans="1:12" hidden="1" x14ac:dyDescent="0.3">
      <c r="A793" s="5" t="s">
        <v>25</v>
      </c>
      <c r="B793" s="6">
        <v>0.82255981481481477</v>
      </c>
      <c r="C793">
        <v>6.77</v>
      </c>
      <c r="D793">
        <v>0.01</v>
      </c>
      <c r="E793">
        <v>9.5</v>
      </c>
      <c r="F793">
        <v>0</v>
      </c>
      <c r="G793">
        <v>0.05</v>
      </c>
      <c r="H793">
        <v>0.15</v>
      </c>
      <c r="I793">
        <v>0.1</v>
      </c>
      <c r="J793">
        <v>0.18</v>
      </c>
      <c r="K793">
        <v>60.01</v>
      </c>
      <c r="L793" s="5" t="s">
        <v>19</v>
      </c>
    </row>
    <row r="794" spans="1:12" hidden="1" x14ac:dyDescent="0.3">
      <c r="A794" s="5" t="s">
        <v>25</v>
      </c>
      <c r="B794" s="6">
        <v>0.82257138888888892</v>
      </c>
      <c r="C794">
        <v>6.77</v>
      </c>
      <c r="D794">
        <v>0.01</v>
      </c>
      <c r="E794">
        <v>9.5</v>
      </c>
      <c r="F794">
        <v>0</v>
      </c>
      <c r="G794">
        <v>0.04</v>
      </c>
      <c r="H794">
        <v>0.15</v>
      </c>
      <c r="I794">
        <v>0.1</v>
      </c>
      <c r="J794">
        <v>0.18</v>
      </c>
      <c r="K794">
        <v>60.01</v>
      </c>
      <c r="L794" s="5" t="s">
        <v>19</v>
      </c>
    </row>
    <row r="795" spans="1:12" hidden="1" x14ac:dyDescent="0.3">
      <c r="A795" s="5" t="s">
        <v>25</v>
      </c>
      <c r="B795" s="6">
        <v>0.82258296296296296</v>
      </c>
      <c r="C795">
        <v>6.77</v>
      </c>
      <c r="D795">
        <v>0.01</v>
      </c>
      <c r="E795">
        <v>9.5</v>
      </c>
      <c r="F795">
        <v>0</v>
      </c>
      <c r="G795">
        <v>0.05</v>
      </c>
      <c r="H795">
        <v>0.14000000000000001</v>
      </c>
      <c r="I795">
        <v>0.1</v>
      </c>
      <c r="J795">
        <v>0.18</v>
      </c>
      <c r="K795">
        <v>60.01</v>
      </c>
      <c r="L795" s="5" t="s">
        <v>19</v>
      </c>
    </row>
    <row r="796" spans="1:12" hidden="1" x14ac:dyDescent="0.3">
      <c r="A796" s="5" t="s">
        <v>25</v>
      </c>
      <c r="B796" s="6">
        <v>0.822594537037037</v>
      </c>
      <c r="C796">
        <v>6.77</v>
      </c>
      <c r="D796">
        <v>0.01</v>
      </c>
      <c r="E796">
        <v>9.5</v>
      </c>
      <c r="F796">
        <v>0</v>
      </c>
      <c r="G796">
        <v>0.04</v>
      </c>
      <c r="H796">
        <v>0.15</v>
      </c>
      <c r="I796">
        <v>0.1</v>
      </c>
      <c r="J796">
        <v>0.18</v>
      </c>
      <c r="K796">
        <v>60.01</v>
      </c>
      <c r="L796" s="5" t="s">
        <v>19</v>
      </c>
    </row>
    <row r="797" spans="1:12" hidden="1" x14ac:dyDescent="0.3">
      <c r="A797" s="5" t="s">
        <v>25</v>
      </c>
      <c r="B797" s="6">
        <v>0.82260611111111115</v>
      </c>
      <c r="C797">
        <v>6.75</v>
      </c>
      <c r="D797">
        <v>0.01</v>
      </c>
      <c r="E797">
        <v>9.5</v>
      </c>
      <c r="F797">
        <v>0</v>
      </c>
      <c r="G797">
        <v>0.05</v>
      </c>
      <c r="H797">
        <v>0.14000000000000001</v>
      </c>
      <c r="I797">
        <v>0.1</v>
      </c>
      <c r="J797">
        <v>0.18</v>
      </c>
      <c r="K797">
        <v>60.01</v>
      </c>
      <c r="L797" s="5" t="s">
        <v>19</v>
      </c>
    </row>
    <row r="798" spans="1:12" hidden="1" x14ac:dyDescent="0.3">
      <c r="A798" s="5" t="s">
        <v>25</v>
      </c>
      <c r="B798" s="6">
        <v>0.82261768518518519</v>
      </c>
      <c r="C798">
        <v>6.64</v>
      </c>
      <c r="D798">
        <v>0.01</v>
      </c>
      <c r="E798">
        <v>9.3000000000000007</v>
      </c>
      <c r="F798">
        <v>0</v>
      </c>
      <c r="G798">
        <v>0.05</v>
      </c>
      <c r="H798">
        <v>0.15</v>
      </c>
      <c r="I798">
        <v>0.1</v>
      </c>
      <c r="J798">
        <v>0.18</v>
      </c>
      <c r="K798">
        <v>60.01</v>
      </c>
      <c r="L798" s="5" t="s">
        <v>19</v>
      </c>
    </row>
    <row r="799" spans="1:12" hidden="1" x14ac:dyDescent="0.3">
      <c r="A799" s="5" t="s">
        <v>25</v>
      </c>
      <c r="B799" s="6">
        <v>0.82262925925925923</v>
      </c>
      <c r="C799">
        <v>6.64</v>
      </c>
      <c r="D799">
        <v>0.01</v>
      </c>
      <c r="E799">
        <v>9.3000000000000007</v>
      </c>
      <c r="F799">
        <v>0</v>
      </c>
      <c r="G799">
        <v>0.05</v>
      </c>
      <c r="H799">
        <v>0.15</v>
      </c>
      <c r="I799">
        <v>0.1</v>
      </c>
      <c r="J799">
        <v>0.18</v>
      </c>
      <c r="K799">
        <v>60.01</v>
      </c>
      <c r="L799" s="5" t="s">
        <v>19</v>
      </c>
    </row>
    <row r="800" spans="1:12" hidden="1" x14ac:dyDescent="0.3">
      <c r="A800" s="5" t="s">
        <v>25</v>
      </c>
      <c r="B800" s="6">
        <v>0.82264083333333338</v>
      </c>
      <c r="C800">
        <v>6.64</v>
      </c>
      <c r="D800">
        <v>0.01</v>
      </c>
      <c r="E800">
        <v>9.3000000000000007</v>
      </c>
      <c r="F800">
        <v>0</v>
      </c>
      <c r="G800">
        <v>0.05</v>
      </c>
      <c r="H800">
        <v>0.15</v>
      </c>
      <c r="I800">
        <v>0.1</v>
      </c>
      <c r="J800">
        <v>0.18</v>
      </c>
      <c r="K800">
        <v>60.01</v>
      </c>
      <c r="L800" s="5" t="s">
        <v>19</v>
      </c>
    </row>
    <row r="801" spans="1:12" hidden="1" x14ac:dyDescent="0.3">
      <c r="A801" s="5" t="s">
        <v>25</v>
      </c>
      <c r="B801" s="6">
        <v>0.82265240740740742</v>
      </c>
      <c r="C801">
        <v>6.64</v>
      </c>
      <c r="D801">
        <v>0.01</v>
      </c>
      <c r="E801">
        <v>9.3000000000000007</v>
      </c>
      <c r="F801">
        <v>0</v>
      </c>
      <c r="G801">
        <v>0.05</v>
      </c>
      <c r="H801">
        <v>0.15</v>
      </c>
      <c r="I801">
        <v>0.1</v>
      </c>
      <c r="J801">
        <v>0.18</v>
      </c>
      <c r="K801">
        <v>60.01</v>
      </c>
      <c r="L801" s="5" t="s">
        <v>19</v>
      </c>
    </row>
    <row r="802" spans="1:12" hidden="1" x14ac:dyDescent="0.3">
      <c r="A802" s="5" t="s">
        <v>25</v>
      </c>
      <c r="B802" s="6">
        <v>0.82266398148148145</v>
      </c>
      <c r="C802">
        <v>6.64</v>
      </c>
      <c r="D802">
        <v>0.01</v>
      </c>
      <c r="E802">
        <v>9.3000000000000007</v>
      </c>
      <c r="F802">
        <v>0</v>
      </c>
      <c r="G802">
        <v>0.04</v>
      </c>
      <c r="H802">
        <v>0.15</v>
      </c>
      <c r="I802">
        <v>0.1</v>
      </c>
      <c r="J802">
        <v>0.18</v>
      </c>
      <c r="K802">
        <v>60.01</v>
      </c>
      <c r="L802" s="5" t="s">
        <v>19</v>
      </c>
    </row>
    <row r="803" spans="1:12" hidden="1" x14ac:dyDescent="0.3">
      <c r="A803" s="5" t="s">
        <v>25</v>
      </c>
      <c r="B803" s="6">
        <v>0.8226755555555556</v>
      </c>
      <c r="C803">
        <v>6.62</v>
      </c>
      <c r="D803">
        <v>0.01</v>
      </c>
      <c r="E803">
        <v>9.1999999999999993</v>
      </c>
      <c r="F803">
        <v>0</v>
      </c>
      <c r="G803">
        <v>0.05</v>
      </c>
      <c r="H803">
        <v>0.15</v>
      </c>
      <c r="I803">
        <v>0.1</v>
      </c>
      <c r="J803">
        <v>0.18</v>
      </c>
      <c r="K803">
        <v>60.011000000000003</v>
      </c>
      <c r="L803" s="5" t="s">
        <v>19</v>
      </c>
    </row>
    <row r="804" spans="1:12" hidden="1" x14ac:dyDescent="0.3">
      <c r="A804" s="5" t="s">
        <v>25</v>
      </c>
      <c r="B804" s="6">
        <v>0.82268712962962964</v>
      </c>
      <c r="C804">
        <v>6.62</v>
      </c>
      <c r="D804">
        <v>0.01</v>
      </c>
      <c r="E804">
        <v>9.1999999999999993</v>
      </c>
      <c r="F804">
        <v>0</v>
      </c>
      <c r="G804">
        <v>0.04</v>
      </c>
      <c r="H804">
        <v>0.15</v>
      </c>
      <c r="I804">
        <v>0.1</v>
      </c>
      <c r="J804">
        <v>0.18</v>
      </c>
      <c r="K804">
        <v>60.011000000000003</v>
      </c>
      <c r="L804" s="5" t="s">
        <v>19</v>
      </c>
    </row>
    <row r="805" spans="1:12" hidden="1" x14ac:dyDescent="0.3">
      <c r="A805" s="5" t="s">
        <v>25</v>
      </c>
      <c r="B805" s="6">
        <v>0.82269870370370368</v>
      </c>
      <c r="C805">
        <v>6.62</v>
      </c>
      <c r="D805">
        <v>0.01</v>
      </c>
      <c r="E805">
        <v>9.1999999999999993</v>
      </c>
      <c r="F805">
        <v>0</v>
      </c>
      <c r="G805">
        <v>0.04</v>
      </c>
      <c r="H805">
        <v>0.15</v>
      </c>
      <c r="I805">
        <v>0.1</v>
      </c>
      <c r="J805">
        <v>0.18</v>
      </c>
      <c r="K805">
        <v>60.01</v>
      </c>
      <c r="L805" s="5" t="s">
        <v>19</v>
      </c>
    </row>
    <row r="806" spans="1:12" hidden="1" x14ac:dyDescent="0.3">
      <c r="A806" s="5" t="s">
        <v>25</v>
      </c>
      <c r="B806" s="6">
        <v>0.82271027777777783</v>
      </c>
      <c r="C806">
        <v>6.62</v>
      </c>
      <c r="D806">
        <v>0.01</v>
      </c>
      <c r="E806">
        <v>9.1999999999999993</v>
      </c>
      <c r="F806">
        <v>0</v>
      </c>
      <c r="G806">
        <v>0.04</v>
      </c>
      <c r="H806">
        <v>0.15</v>
      </c>
      <c r="I806">
        <v>0.1</v>
      </c>
      <c r="J806">
        <v>0.18</v>
      </c>
      <c r="K806">
        <v>60.01</v>
      </c>
      <c r="L806" s="5" t="s">
        <v>19</v>
      </c>
    </row>
    <row r="807" spans="1:12" hidden="1" x14ac:dyDescent="0.3">
      <c r="A807" s="5" t="s">
        <v>25</v>
      </c>
      <c r="B807" s="6">
        <v>0.82272185185185187</v>
      </c>
      <c r="C807">
        <v>6.47</v>
      </c>
      <c r="D807">
        <v>0.01</v>
      </c>
      <c r="E807">
        <v>9.1999999999999993</v>
      </c>
      <c r="F807">
        <v>0</v>
      </c>
      <c r="G807">
        <v>0.04</v>
      </c>
      <c r="H807">
        <v>0.14000000000000001</v>
      </c>
      <c r="I807">
        <v>0.1</v>
      </c>
      <c r="J807">
        <v>0.18</v>
      </c>
      <c r="K807">
        <v>60.01</v>
      </c>
      <c r="L807" s="5" t="s">
        <v>19</v>
      </c>
    </row>
    <row r="808" spans="1:12" hidden="1" x14ac:dyDescent="0.3">
      <c r="A808" s="5" t="s">
        <v>25</v>
      </c>
      <c r="B808" s="6">
        <v>0.82273342592592591</v>
      </c>
      <c r="C808">
        <v>5.81</v>
      </c>
      <c r="D808">
        <v>0.01</v>
      </c>
      <c r="E808">
        <v>8</v>
      </c>
      <c r="F808">
        <v>0</v>
      </c>
      <c r="G808">
        <v>0.05</v>
      </c>
      <c r="H808">
        <v>0.15</v>
      </c>
      <c r="I808">
        <v>0.1</v>
      </c>
      <c r="J808">
        <v>0.18</v>
      </c>
      <c r="K808">
        <v>60.01</v>
      </c>
      <c r="L808" s="5" t="s">
        <v>19</v>
      </c>
    </row>
    <row r="809" spans="1:12" hidden="1" x14ac:dyDescent="0.3">
      <c r="A809" s="5" t="s">
        <v>25</v>
      </c>
      <c r="B809" s="6">
        <v>0.82274499999999995</v>
      </c>
      <c r="C809">
        <v>5.81</v>
      </c>
      <c r="D809">
        <v>0.01</v>
      </c>
      <c r="E809">
        <v>8</v>
      </c>
      <c r="F809">
        <v>0</v>
      </c>
      <c r="G809">
        <v>0.04</v>
      </c>
      <c r="H809">
        <v>0.15</v>
      </c>
      <c r="I809">
        <v>0.1</v>
      </c>
      <c r="J809">
        <v>0.18</v>
      </c>
      <c r="K809">
        <v>60.01</v>
      </c>
      <c r="L809" s="5" t="s">
        <v>19</v>
      </c>
    </row>
    <row r="810" spans="1:12" hidden="1" x14ac:dyDescent="0.3">
      <c r="A810" s="5" t="s">
        <v>25</v>
      </c>
      <c r="B810" s="6">
        <v>0.8227565740740741</v>
      </c>
      <c r="C810">
        <v>5.8</v>
      </c>
      <c r="D810">
        <v>0.01</v>
      </c>
      <c r="E810">
        <v>8</v>
      </c>
      <c r="F810">
        <v>0</v>
      </c>
      <c r="G810">
        <v>0.05</v>
      </c>
      <c r="H810">
        <v>0.15</v>
      </c>
      <c r="I810">
        <v>0.1</v>
      </c>
      <c r="J810">
        <v>0.18</v>
      </c>
      <c r="K810">
        <v>60.01</v>
      </c>
      <c r="L810" s="5" t="s">
        <v>19</v>
      </c>
    </row>
    <row r="811" spans="1:12" hidden="1" x14ac:dyDescent="0.3">
      <c r="A811" s="5" t="s">
        <v>25</v>
      </c>
      <c r="B811" s="6">
        <v>0.82276814814814814</v>
      </c>
      <c r="C811">
        <v>5.78</v>
      </c>
      <c r="D811">
        <v>0.01</v>
      </c>
      <c r="E811">
        <v>8</v>
      </c>
      <c r="F811">
        <v>0</v>
      </c>
      <c r="G811">
        <v>0.05</v>
      </c>
      <c r="H811">
        <v>0.15</v>
      </c>
      <c r="I811">
        <v>0.1</v>
      </c>
      <c r="J811">
        <v>0.18</v>
      </c>
      <c r="K811">
        <v>60.009</v>
      </c>
      <c r="L811" s="5" t="s">
        <v>19</v>
      </c>
    </row>
    <row r="812" spans="1:12" hidden="1" x14ac:dyDescent="0.3">
      <c r="A812" s="5" t="s">
        <v>25</v>
      </c>
      <c r="B812" s="6">
        <v>0.82277972222222218</v>
      </c>
      <c r="C812">
        <v>5.63</v>
      </c>
      <c r="D812">
        <v>0.01</v>
      </c>
      <c r="E812">
        <v>8</v>
      </c>
      <c r="F812">
        <v>0</v>
      </c>
      <c r="G812">
        <v>0.05</v>
      </c>
      <c r="H812">
        <v>0.15</v>
      </c>
      <c r="I812">
        <v>0.1</v>
      </c>
      <c r="J812">
        <v>0.18</v>
      </c>
      <c r="K812">
        <v>60.009</v>
      </c>
      <c r="L812" s="5" t="s">
        <v>19</v>
      </c>
    </row>
    <row r="813" spans="1:12" hidden="1" x14ac:dyDescent="0.3">
      <c r="A813" s="5" t="s">
        <v>25</v>
      </c>
      <c r="B813" s="6">
        <v>0.82279129629629633</v>
      </c>
      <c r="C813">
        <v>4.96</v>
      </c>
      <c r="D813">
        <v>0.01</v>
      </c>
      <c r="E813">
        <v>6.8</v>
      </c>
      <c r="F813">
        <v>0</v>
      </c>
      <c r="G813">
        <v>0.05</v>
      </c>
      <c r="H813">
        <v>0.15</v>
      </c>
      <c r="I813">
        <v>0.1</v>
      </c>
      <c r="J813">
        <v>0.18</v>
      </c>
      <c r="K813">
        <v>60.009</v>
      </c>
      <c r="L813" s="5" t="s">
        <v>19</v>
      </c>
    </row>
    <row r="814" spans="1:12" hidden="1" x14ac:dyDescent="0.3">
      <c r="A814" s="5" t="s">
        <v>25</v>
      </c>
      <c r="B814" s="6">
        <v>0.82280287037037037</v>
      </c>
      <c r="C814">
        <v>4.96</v>
      </c>
      <c r="D814">
        <v>0.01</v>
      </c>
      <c r="E814">
        <v>6.8</v>
      </c>
      <c r="F814">
        <v>0</v>
      </c>
      <c r="G814">
        <v>0.05</v>
      </c>
      <c r="H814">
        <v>0.15</v>
      </c>
      <c r="I814">
        <v>0.1</v>
      </c>
      <c r="J814">
        <v>0.18</v>
      </c>
      <c r="K814">
        <v>60.009</v>
      </c>
      <c r="L814" s="5" t="s">
        <v>19</v>
      </c>
    </row>
    <row r="815" spans="1:12" hidden="1" x14ac:dyDescent="0.3">
      <c r="A815" s="5" t="s">
        <v>25</v>
      </c>
      <c r="B815" s="6">
        <v>0.8228144444444444</v>
      </c>
      <c r="C815">
        <v>4.95</v>
      </c>
      <c r="D815">
        <v>0.01</v>
      </c>
      <c r="E815">
        <v>6.8</v>
      </c>
      <c r="F815">
        <v>0</v>
      </c>
      <c r="G815">
        <v>0.04</v>
      </c>
      <c r="H815">
        <v>0.15</v>
      </c>
      <c r="I815">
        <v>0.1</v>
      </c>
      <c r="J815">
        <v>0.18</v>
      </c>
      <c r="K815">
        <v>60.009</v>
      </c>
      <c r="L815" s="5" t="s">
        <v>19</v>
      </c>
    </row>
    <row r="816" spans="1:12" hidden="1" x14ac:dyDescent="0.3">
      <c r="A816" s="5" t="s">
        <v>25</v>
      </c>
      <c r="B816" s="6">
        <v>0.82282601851851855</v>
      </c>
      <c r="C816">
        <v>4.95</v>
      </c>
      <c r="D816">
        <v>0.01</v>
      </c>
      <c r="E816">
        <v>6.7</v>
      </c>
      <c r="F816">
        <v>0</v>
      </c>
      <c r="G816">
        <v>0.05</v>
      </c>
      <c r="H816">
        <v>0.15</v>
      </c>
      <c r="I816">
        <v>0.1</v>
      </c>
      <c r="J816">
        <v>0.18</v>
      </c>
      <c r="K816">
        <v>60.009</v>
      </c>
      <c r="L816" s="5" t="s">
        <v>19</v>
      </c>
    </row>
    <row r="817" spans="1:12" hidden="1" x14ac:dyDescent="0.3">
      <c r="A817" s="5" t="s">
        <v>25</v>
      </c>
      <c r="B817" s="6">
        <v>0.82283759259259259</v>
      </c>
      <c r="C817">
        <v>4.82</v>
      </c>
      <c r="D817">
        <v>0.01</v>
      </c>
      <c r="E817">
        <v>6.7</v>
      </c>
      <c r="F817">
        <v>0</v>
      </c>
      <c r="G817">
        <v>0.04</v>
      </c>
      <c r="H817">
        <v>0.15</v>
      </c>
      <c r="I817">
        <v>0.1</v>
      </c>
      <c r="J817">
        <v>0.18</v>
      </c>
      <c r="K817">
        <v>60.009</v>
      </c>
      <c r="L817" s="5" t="s">
        <v>19</v>
      </c>
    </row>
    <row r="818" spans="1:12" hidden="1" x14ac:dyDescent="0.3">
      <c r="A818" s="5" t="s">
        <v>25</v>
      </c>
      <c r="B818" s="6">
        <v>0.82284916666666663</v>
      </c>
      <c r="C818">
        <v>4.2699999999999996</v>
      </c>
      <c r="D818">
        <v>0.01</v>
      </c>
      <c r="E818">
        <v>5.8</v>
      </c>
      <c r="F818">
        <v>0</v>
      </c>
      <c r="G818">
        <v>0.04</v>
      </c>
      <c r="H818">
        <v>0.15</v>
      </c>
      <c r="I818">
        <v>0.1</v>
      </c>
      <c r="J818">
        <v>0.18</v>
      </c>
      <c r="K818">
        <v>60.009</v>
      </c>
      <c r="L818" s="5" t="s">
        <v>19</v>
      </c>
    </row>
    <row r="819" spans="1:12" hidden="1" x14ac:dyDescent="0.3">
      <c r="A819" s="5" t="s">
        <v>25</v>
      </c>
      <c r="B819" s="6">
        <v>0.82286074074074078</v>
      </c>
      <c r="C819">
        <v>4.28</v>
      </c>
      <c r="D819">
        <v>0.01</v>
      </c>
      <c r="E819">
        <v>5.8</v>
      </c>
      <c r="F819">
        <v>0</v>
      </c>
      <c r="G819">
        <v>0.04</v>
      </c>
      <c r="H819">
        <v>0.15</v>
      </c>
      <c r="I819">
        <v>0.1</v>
      </c>
      <c r="J819">
        <v>0.18</v>
      </c>
      <c r="K819">
        <v>60.009</v>
      </c>
      <c r="L819" s="5" t="s">
        <v>19</v>
      </c>
    </row>
    <row r="820" spans="1:12" hidden="1" x14ac:dyDescent="0.3">
      <c r="A820" s="5" t="s">
        <v>25</v>
      </c>
      <c r="B820" s="6">
        <v>0.82287231481481482</v>
      </c>
      <c r="C820">
        <v>4.28</v>
      </c>
      <c r="D820">
        <v>0.01</v>
      </c>
      <c r="E820">
        <v>5.8</v>
      </c>
      <c r="F820">
        <v>0</v>
      </c>
      <c r="G820">
        <v>0.04</v>
      </c>
      <c r="H820">
        <v>0.15</v>
      </c>
      <c r="I820">
        <v>0.1</v>
      </c>
      <c r="J820">
        <v>0.18</v>
      </c>
      <c r="K820">
        <v>60.009</v>
      </c>
      <c r="L820" s="5" t="s">
        <v>19</v>
      </c>
    </row>
    <row r="821" spans="1:12" hidden="1" x14ac:dyDescent="0.3">
      <c r="A821" s="5" t="s">
        <v>25</v>
      </c>
      <c r="B821" s="6">
        <v>0.82288388888888886</v>
      </c>
      <c r="C821">
        <v>4.28</v>
      </c>
      <c r="D821">
        <v>0.01</v>
      </c>
      <c r="E821">
        <v>5.8</v>
      </c>
      <c r="F821">
        <v>0</v>
      </c>
      <c r="G821">
        <v>0.04</v>
      </c>
      <c r="H821">
        <v>0.15</v>
      </c>
      <c r="I821">
        <v>0.1</v>
      </c>
      <c r="J821">
        <v>0.18</v>
      </c>
      <c r="K821">
        <v>60.01</v>
      </c>
      <c r="L821" s="5" t="s">
        <v>19</v>
      </c>
    </row>
    <row r="822" spans="1:12" hidden="1" x14ac:dyDescent="0.3">
      <c r="A822" s="5" t="s">
        <v>25</v>
      </c>
      <c r="B822" s="6">
        <v>0.82289546296296301</v>
      </c>
      <c r="C822">
        <v>4.28</v>
      </c>
      <c r="D822">
        <v>0.01</v>
      </c>
      <c r="E822">
        <v>5.8</v>
      </c>
      <c r="F822">
        <v>0</v>
      </c>
      <c r="G822">
        <v>0.05</v>
      </c>
      <c r="H822">
        <v>0.15</v>
      </c>
      <c r="I822">
        <v>0.1</v>
      </c>
      <c r="J822">
        <v>0.18</v>
      </c>
      <c r="K822">
        <v>60.01</v>
      </c>
      <c r="L822" s="5" t="s">
        <v>19</v>
      </c>
    </row>
    <row r="823" spans="1:12" hidden="1" x14ac:dyDescent="0.3">
      <c r="A823" s="5" t="s">
        <v>25</v>
      </c>
      <c r="B823" s="6">
        <v>0.82290703703703705</v>
      </c>
      <c r="C823">
        <v>4.25</v>
      </c>
      <c r="D823">
        <v>0.01</v>
      </c>
      <c r="E823">
        <v>5.7</v>
      </c>
      <c r="F823">
        <v>0</v>
      </c>
      <c r="G823">
        <v>0.05</v>
      </c>
      <c r="H823">
        <v>0.15</v>
      </c>
      <c r="I823">
        <v>0.1</v>
      </c>
      <c r="J823">
        <v>0.18</v>
      </c>
      <c r="K823">
        <v>60.01</v>
      </c>
      <c r="L823" s="5" t="s">
        <v>19</v>
      </c>
    </row>
    <row r="824" spans="1:12" x14ac:dyDescent="0.3">
      <c r="A824" s="5" t="s">
        <v>25</v>
      </c>
      <c r="B824" s="6">
        <v>0.82291861111111109</v>
      </c>
      <c r="C824">
        <v>4.25</v>
      </c>
      <c r="D824">
        <v>0.01</v>
      </c>
      <c r="E824">
        <v>5.7</v>
      </c>
      <c r="F824">
        <v>0</v>
      </c>
      <c r="G824">
        <v>0.04</v>
      </c>
      <c r="H824">
        <v>0.15</v>
      </c>
      <c r="I824">
        <v>0.1</v>
      </c>
      <c r="J824">
        <v>0.18</v>
      </c>
      <c r="K824">
        <v>60.01</v>
      </c>
      <c r="L824" s="5" t="s">
        <v>19</v>
      </c>
    </row>
    <row r="825" spans="1:12" x14ac:dyDescent="0.3">
      <c r="A825" s="5" t="s">
        <v>25</v>
      </c>
      <c r="B825" s="6">
        <v>0.82293018518518524</v>
      </c>
      <c r="C825">
        <v>4.26</v>
      </c>
      <c r="D825">
        <v>0.01</v>
      </c>
      <c r="E825">
        <v>5.7</v>
      </c>
      <c r="F825">
        <v>0</v>
      </c>
      <c r="G825">
        <v>0.05</v>
      </c>
      <c r="H825">
        <v>0.15</v>
      </c>
      <c r="I825">
        <v>0.1</v>
      </c>
      <c r="J825">
        <v>0.18</v>
      </c>
      <c r="K825">
        <v>60.01</v>
      </c>
      <c r="L825" s="5" t="s">
        <v>19</v>
      </c>
    </row>
    <row r="826" spans="1:12" x14ac:dyDescent="0.3">
      <c r="A826" s="5" t="s">
        <v>25</v>
      </c>
      <c r="B826" s="6">
        <v>0.82294175925925928</v>
      </c>
      <c r="C826">
        <v>4.26</v>
      </c>
      <c r="D826">
        <v>0.01</v>
      </c>
      <c r="E826">
        <v>5.7</v>
      </c>
      <c r="F826">
        <v>0</v>
      </c>
      <c r="G826">
        <v>0.05</v>
      </c>
      <c r="H826">
        <v>0.15</v>
      </c>
      <c r="I826">
        <v>0.1</v>
      </c>
      <c r="J826">
        <v>0.18</v>
      </c>
      <c r="K826">
        <v>60.01</v>
      </c>
      <c r="L826" s="5" t="s">
        <v>19</v>
      </c>
    </row>
    <row r="827" spans="1:12" x14ac:dyDescent="0.3">
      <c r="A827" s="5" t="s">
        <v>25</v>
      </c>
      <c r="B827" s="6">
        <v>0.82295333333333331</v>
      </c>
      <c r="C827">
        <v>4.26</v>
      </c>
      <c r="D827">
        <v>0.01</v>
      </c>
      <c r="E827">
        <v>5.8</v>
      </c>
      <c r="F827">
        <v>0</v>
      </c>
      <c r="G827">
        <v>0.05</v>
      </c>
      <c r="H827">
        <v>0.15</v>
      </c>
      <c r="I827">
        <v>0.1</v>
      </c>
      <c r="J827">
        <v>0.18</v>
      </c>
      <c r="K827">
        <v>60.01</v>
      </c>
      <c r="L827" s="5" t="s">
        <v>19</v>
      </c>
    </row>
    <row r="828" spans="1:12" x14ac:dyDescent="0.3">
      <c r="A828" s="5" t="s">
        <v>25</v>
      </c>
      <c r="B828" s="6">
        <v>0.82296490740740735</v>
      </c>
      <c r="C828">
        <v>4.26</v>
      </c>
      <c r="D828">
        <v>0.01</v>
      </c>
      <c r="E828">
        <v>5.8</v>
      </c>
      <c r="F828">
        <v>0</v>
      </c>
      <c r="G828">
        <v>0.05</v>
      </c>
      <c r="H828">
        <v>0.15</v>
      </c>
      <c r="I828">
        <v>0.1</v>
      </c>
      <c r="J828">
        <v>0.18</v>
      </c>
      <c r="K828">
        <v>60.01</v>
      </c>
      <c r="L828" s="5" t="s">
        <v>19</v>
      </c>
    </row>
    <row r="829" spans="1:12" x14ac:dyDescent="0.3">
      <c r="A829" s="5" t="s">
        <v>25</v>
      </c>
      <c r="B829" s="6">
        <v>0.8229764814814815</v>
      </c>
      <c r="C829">
        <v>4.26</v>
      </c>
      <c r="D829">
        <v>0.01</v>
      </c>
      <c r="E829">
        <v>5.8</v>
      </c>
      <c r="F829">
        <v>0</v>
      </c>
      <c r="G829">
        <v>0.05</v>
      </c>
      <c r="H829">
        <v>0.15</v>
      </c>
      <c r="I829">
        <v>0.1</v>
      </c>
      <c r="J829">
        <v>0.18</v>
      </c>
      <c r="K829">
        <v>60.009</v>
      </c>
      <c r="L829" s="5" t="s">
        <v>19</v>
      </c>
    </row>
    <row r="830" spans="1:12" x14ac:dyDescent="0.3">
      <c r="A830" s="5" t="s">
        <v>25</v>
      </c>
      <c r="B830" s="6">
        <v>0.82298805555555554</v>
      </c>
      <c r="C830">
        <v>4.26</v>
      </c>
      <c r="D830">
        <v>0.01</v>
      </c>
      <c r="E830">
        <v>5.8</v>
      </c>
      <c r="F830">
        <v>0</v>
      </c>
      <c r="G830">
        <v>0.04</v>
      </c>
      <c r="H830">
        <v>0.15</v>
      </c>
      <c r="I830">
        <v>0.1</v>
      </c>
      <c r="J830">
        <v>0.18</v>
      </c>
      <c r="K830">
        <v>60.009</v>
      </c>
      <c r="L830" s="5" t="s">
        <v>19</v>
      </c>
    </row>
    <row r="831" spans="1:12" x14ac:dyDescent="0.3">
      <c r="A831" s="5" t="s">
        <v>25</v>
      </c>
      <c r="B831" s="6">
        <v>0.82299962962962958</v>
      </c>
      <c r="C831">
        <v>4.26</v>
      </c>
      <c r="D831">
        <v>0.01</v>
      </c>
      <c r="E831">
        <v>5.7</v>
      </c>
      <c r="F831">
        <v>0</v>
      </c>
      <c r="G831">
        <v>0.05</v>
      </c>
      <c r="H831">
        <v>0.15</v>
      </c>
      <c r="I831">
        <v>0.1</v>
      </c>
      <c r="J831">
        <v>0.18</v>
      </c>
      <c r="K831">
        <v>60.009</v>
      </c>
      <c r="L831" s="5" t="s">
        <v>19</v>
      </c>
    </row>
    <row r="832" spans="1:12" x14ac:dyDescent="0.3">
      <c r="A832" s="5" t="s">
        <v>25</v>
      </c>
      <c r="B832" s="6">
        <v>0.82301120370370373</v>
      </c>
      <c r="C832">
        <v>4.26</v>
      </c>
      <c r="D832">
        <v>0.01</v>
      </c>
      <c r="E832">
        <v>5.8</v>
      </c>
      <c r="F832">
        <v>0</v>
      </c>
      <c r="G832">
        <v>0.05</v>
      </c>
      <c r="H832">
        <v>0.15</v>
      </c>
      <c r="I832">
        <v>0.1</v>
      </c>
      <c r="J832">
        <v>0.18</v>
      </c>
      <c r="K832">
        <v>60.009</v>
      </c>
      <c r="L832" s="5" t="s">
        <v>19</v>
      </c>
    </row>
    <row r="833" spans="1:12" x14ac:dyDescent="0.3">
      <c r="A833" s="5" t="s">
        <v>25</v>
      </c>
      <c r="B833" s="6">
        <v>0.82302277777777777</v>
      </c>
      <c r="C833">
        <v>4.26</v>
      </c>
      <c r="D833">
        <v>0.01</v>
      </c>
      <c r="E833">
        <v>5.7</v>
      </c>
      <c r="F833">
        <v>0</v>
      </c>
      <c r="G833">
        <v>0.04</v>
      </c>
      <c r="H833">
        <v>0.15</v>
      </c>
      <c r="I833">
        <v>0.1</v>
      </c>
      <c r="J833">
        <v>0.18</v>
      </c>
      <c r="K833">
        <v>60.008000000000003</v>
      </c>
      <c r="L833" s="5" t="s">
        <v>19</v>
      </c>
    </row>
    <row r="834" spans="1:12" x14ac:dyDescent="0.3">
      <c r="A834" s="5" t="s">
        <v>25</v>
      </c>
      <c r="B834" s="6">
        <v>0.82303435185185181</v>
      </c>
      <c r="C834">
        <v>4.6399999999999997</v>
      </c>
      <c r="D834">
        <v>0.01</v>
      </c>
      <c r="E834">
        <v>7.2</v>
      </c>
      <c r="F834">
        <v>0</v>
      </c>
      <c r="G834">
        <v>0.04</v>
      </c>
      <c r="H834">
        <v>0.15</v>
      </c>
      <c r="I834">
        <v>0.1</v>
      </c>
      <c r="J834">
        <v>0.18</v>
      </c>
      <c r="K834">
        <v>60.009</v>
      </c>
      <c r="L834" s="5" t="s">
        <v>19</v>
      </c>
    </row>
    <row r="835" spans="1:12" x14ac:dyDescent="0.3">
      <c r="A835" s="5" t="s">
        <v>25</v>
      </c>
      <c r="B835" s="6">
        <v>0.82304592592592596</v>
      </c>
      <c r="C835">
        <v>5</v>
      </c>
      <c r="D835">
        <v>0.01</v>
      </c>
      <c r="E835">
        <v>7.6</v>
      </c>
      <c r="F835">
        <v>0</v>
      </c>
      <c r="G835">
        <v>0.05</v>
      </c>
      <c r="H835">
        <v>0.15</v>
      </c>
      <c r="I835">
        <v>0.1</v>
      </c>
      <c r="J835">
        <v>0.18</v>
      </c>
      <c r="K835">
        <v>60.006999999999998</v>
      </c>
      <c r="L835" s="5" t="s">
        <v>19</v>
      </c>
    </row>
    <row r="836" spans="1:12" x14ac:dyDescent="0.3">
      <c r="A836" s="5" t="s">
        <v>25</v>
      </c>
      <c r="B836" s="6">
        <v>0.8230575</v>
      </c>
      <c r="C836">
        <v>4.55</v>
      </c>
      <c r="D836">
        <v>0.01</v>
      </c>
      <c r="E836">
        <v>7.1</v>
      </c>
      <c r="F836">
        <v>0</v>
      </c>
      <c r="G836">
        <v>0.05</v>
      </c>
      <c r="H836">
        <v>0.15</v>
      </c>
      <c r="I836">
        <v>0.1</v>
      </c>
      <c r="J836">
        <v>0.18</v>
      </c>
      <c r="K836">
        <v>60.009</v>
      </c>
      <c r="L836" s="5" t="s">
        <v>19</v>
      </c>
    </row>
    <row r="837" spans="1:12" x14ac:dyDescent="0.3">
      <c r="A837" s="5" t="s">
        <v>25</v>
      </c>
      <c r="B837" s="6">
        <v>0.82306907407407404</v>
      </c>
      <c r="C837">
        <v>4.99</v>
      </c>
      <c r="D837">
        <v>0.01</v>
      </c>
      <c r="E837">
        <v>7.6</v>
      </c>
      <c r="F837">
        <v>0</v>
      </c>
      <c r="G837">
        <v>0.05</v>
      </c>
      <c r="H837">
        <v>0.15</v>
      </c>
      <c r="I837">
        <v>0.1</v>
      </c>
      <c r="J837">
        <v>0.18</v>
      </c>
      <c r="K837">
        <v>60.006</v>
      </c>
      <c r="L837" s="5" t="s">
        <v>19</v>
      </c>
    </row>
    <row r="838" spans="1:12" x14ac:dyDescent="0.3">
      <c r="A838" s="5" t="s">
        <v>25</v>
      </c>
      <c r="B838" s="6">
        <v>0.82308064814814819</v>
      </c>
      <c r="C838">
        <v>4.62</v>
      </c>
      <c r="D838">
        <v>0.01</v>
      </c>
      <c r="E838">
        <v>7.2</v>
      </c>
      <c r="F838">
        <v>0</v>
      </c>
      <c r="G838">
        <v>0.05</v>
      </c>
      <c r="H838">
        <v>0.15</v>
      </c>
      <c r="I838">
        <v>0.1</v>
      </c>
      <c r="J838">
        <v>0.18</v>
      </c>
      <c r="K838">
        <v>60.006999999999998</v>
      </c>
      <c r="L838" s="5" t="s">
        <v>19</v>
      </c>
    </row>
    <row r="839" spans="1:12" x14ac:dyDescent="0.3">
      <c r="A839" s="5" t="s">
        <v>25</v>
      </c>
      <c r="B839" s="6">
        <v>0.82309222222222223</v>
      </c>
      <c r="C839">
        <v>4.8</v>
      </c>
      <c r="D839">
        <v>0.01</v>
      </c>
      <c r="E839">
        <v>7.4</v>
      </c>
      <c r="F839">
        <v>0</v>
      </c>
      <c r="G839">
        <v>0.05</v>
      </c>
      <c r="H839">
        <v>0.15</v>
      </c>
      <c r="I839">
        <v>0.1</v>
      </c>
      <c r="J839">
        <v>0.18</v>
      </c>
      <c r="K839">
        <v>60.005000000000003</v>
      </c>
      <c r="L839" s="5" t="s">
        <v>19</v>
      </c>
    </row>
    <row r="840" spans="1:12" x14ac:dyDescent="0.3">
      <c r="A840" s="5" t="s">
        <v>25</v>
      </c>
      <c r="B840" s="6">
        <v>0.82310379629629626</v>
      </c>
      <c r="C840">
        <v>4.8499999999999996</v>
      </c>
      <c r="D840">
        <v>0.01</v>
      </c>
      <c r="E840">
        <v>7.5</v>
      </c>
      <c r="F840">
        <v>0</v>
      </c>
      <c r="G840">
        <v>0.05</v>
      </c>
      <c r="H840">
        <v>0.15</v>
      </c>
      <c r="I840">
        <v>0.1</v>
      </c>
      <c r="J840">
        <v>0.18</v>
      </c>
      <c r="K840">
        <v>60.005000000000003</v>
      </c>
      <c r="L840" s="5" t="s">
        <v>19</v>
      </c>
    </row>
    <row r="841" spans="1:12" x14ac:dyDescent="0.3">
      <c r="A841" s="5" t="s">
        <v>25</v>
      </c>
      <c r="B841" s="6">
        <v>0.82311537037037041</v>
      </c>
      <c r="C841">
        <v>4.66</v>
      </c>
      <c r="D841">
        <v>0.01</v>
      </c>
      <c r="E841">
        <v>7.2</v>
      </c>
      <c r="F841">
        <v>0</v>
      </c>
      <c r="G841">
        <v>0.05</v>
      </c>
      <c r="H841">
        <v>0.15</v>
      </c>
      <c r="I841">
        <v>0.1</v>
      </c>
      <c r="J841">
        <v>0.18</v>
      </c>
      <c r="K841">
        <v>60.003999999999998</v>
      </c>
      <c r="L841" s="5" t="s">
        <v>19</v>
      </c>
    </row>
    <row r="842" spans="1:12" x14ac:dyDescent="0.3">
      <c r="A842" s="5" t="s">
        <v>25</v>
      </c>
      <c r="B842" s="6">
        <v>0.82312694444444445</v>
      </c>
      <c r="C842">
        <v>4.97</v>
      </c>
      <c r="D842">
        <v>0.01</v>
      </c>
      <c r="E842">
        <v>7.5</v>
      </c>
      <c r="F842">
        <v>0</v>
      </c>
      <c r="G842">
        <v>0.05</v>
      </c>
      <c r="H842">
        <v>0.15</v>
      </c>
      <c r="I842">
        <v>0.1</v>
      </c>
      <c r="J842">
        <v>0.18</v>
      </c>
      <c r="K842">
        <v>60.002000000000002</v>
      </c>
      <c r="L842" s="5" t="s">
        <v>19</v>
      </c>
    </row>
    <row r="843" spans="1:12" x14ac:dyDescent="0.3">
      <c r="A843" s="5" t="s">
        <v>25</v>
      </c>
      <c r="B843" s="6">
        <v>0.82313851851851849</v>
      </c>
      <c r="C843">
        <v>4.62</v>
      </c>
      <c r="D843">
        <v>0.01</v>
      </c>
      <c r="E843">
        <v>7.3</v>
      </c>
      <c r="F843">
        <v>0</v>
      </c>
      <c r="G843">
        <v>0.05</v>
      </c>
      <c r="H843">
        <v>0.15</v>
      </c>
      <c r="I843">
        <v>0.1</v>
      </c>
      <c r="J843">
        <v>0.18</v>
      </c>
      <c r="K843">
        <v>60.003</v>
      </c>
      <c r="L843" s="5" t="s">
        <v>19</v>
      </c>
    </row>
    <row r="844" spans="1:12" x14ac:dyDescent="0.3">
      <c r="A844" s="5" t="s">
        <v>25</v>
      </c>
      <c r="B844" s="6">
        <v>0.82315009259259264</v>
      </c>
      <c r="C844">
        <v>4.9000000000000004</v>
      </c>
      <c r="D844">
        <v>0.01</v>
      </c>
      <c r="E844">
        <v>7.6</v>
      </c>
      <c r="F844">
        <v>0</v>
      </c>
      <c r="G844">
        <v>0.05</v>
      </c>
      <c r="H844">
        <v>0.15</v>
      </c>
      <c r="I844">
        <v>0.1</v>
      </c>
      <c r="J844">
        <v>0.18</v>
      </c>
      <c r="K844">
        <v>59.999000000000002</v>
      </c>
      <c r="L844" s="5" t="s">
        <v>19</v>
      </c>
    </row>
    <row r="845" spans="1:12" x14ac:dyDescent="0.3">
      <c r="A845" s="5" t="s">
        <v>25</v>
      </c>
      <c r="B845" s="6">
        <v>0.82316166666666668</v>
      </c>
      <c r="C845">
        <v>4.68</v>
      </c>
      <c r="D845">
        <v>0.01</v>
      </c>
      <c r="E845">
        <v>7.2</v>
      </c>
      <c r="F845">
        <v>0</v>
      </c>
      <c r="G845">
        <v>0.05</v>
      </c>
      <c r="H845">
        <v>0.15</v>
      </c>
      <c r="I845">
        <v>0.1</v>
      </c>
      <c r="J845">
        <v>0.18</v>
      </c>
      <c r="K845">
        <v>60.002000000000002</v>
      </c>
      <c r="L845" s="5" t="s">
        <v>19</v>
      </c>
    </row>
    <row r="846" spans="1:12" x14ac:dyDescent="0.3">
      <c r="A846" s="5" t="s">
        <v>25</v>
      </c>
      <c r="B846" s="6">
        <v>0.82317324074074072</v>
      </c>
      <c r="C846">
        <v>4.7699999999999996</v>
      </c>
      <c r="D846">
        <v>0.01</v>
      </c>
      <c r="E846">
        <v>7.4</v>
      </c>
      <c r="F846">
        <v>0</v>
      </c>
      <c r="G846">
        <v>0.04</v>
      </c>
      <c r="H846">
        <v>0.15</v>
      </c>
      <c r="I846">
        <v>0.1</v>
      </c>
      <c r="J846">
        <v>0.18</v>
      </c>
      <c r="K846">
        <v>59.999000000000002</v>
      </c>
      <c r="L846" s="5" t="s">
        <v>19</v>
      </c>
    </row>
    <row r="847" spans="1:12" x14ac:dyDescent="0.3">
      <c r="A847" s="5" t="s">
        <v>25</v>
      </c>
      <c r="B847" s="6">
        <v>0.82318481481481487</v>
      </c>
      <c r="C847">
        <v>4.8899999999999997</v>
      </c>
      <c r="D847">
        <v>0.01</v>
      </c>
      <c r="E847">
        <v>7.5</v>
      </c>
      <c r="F847">
        <v>0</v>
      </c>
      <c r="G847">
        <v>0.04</v>
      </c>
      <c r="H847">
        <v>0.15</v>
      </c>
      <c r="I847">
        <v>0.1</v>
      </c>
      <c r="J847">
        <v>0.18</v>
      </c>
      <c r="K847">
        <v>60</v>
      </c>
      <c r="L847" s="5" t="s">
        <v>19</v>
      </c>
    </row>
    <row r="848" spans="1:12" x14ac:dyDescent="0.3">
      <c r="A848" s="5" t="s">
        <v>25</v>
      </c>
      <c r="B848" s="6">
        <v>0.82319638888888891</v>
      </c>
      <c r="C848">
        <v>4.71</v>
      </c>
      <c r="D848">
        <v>0.01</v>
      </c>
      <c r="E848">
        <v>7.3</v>
      </c>
      <c r="F848">
        <v>0</v>
      </c>
      <c r="G848">
        <v>0.04</v>
      </c>
      <c r="H848">
        <v>0.15</v>
      </c>
      <c r="I848">
        <v>0.1</v>
      </c>
      <c r="J848">
        <v>0.18</v>
      </c>
      <c r="K848">
        <v>60</v>
      </c>
      <c r="L848" s="5" t="s">
        <v>19</v>
      </c>
    </row>
    <row r="849" spans="1:12" x14ac:dyDescent="0.3">
      <c r="A849" s="5" t="s">
        <v>25</v>
      </c>
      <c r="B849" s="6">
        <v>0.82320796296296295</v>
      </c>
      <c r="C849">
        <v>5.08</v>
      </c>
      <c r="D849">
        <v>0.01</v>
      </c>
      <c r="E849">
        <v>7.8</v>
      </c>
      <c r="F849">
        <v>0</v>
      </c>
      <c r="G849">
        <v>0.04</v>
      </c>
      <c r="H849">
        <v>0.15</v>
      </c>
      <c r="I849">
        <v>0.1</v>
      </c>
      <c r="J849">
        <v>0.18</v>
      </c>
      <c r="K849">
        <v>59.999000000000002</v>
      </c>
      <c r="L849" s="5" t="s">
        <v>19</v>
      </c>
    </row>
    <row r="850" spans="1:12" x14ac:dyDescent="0.3">
      <c r="A850" s="5" t="s">
        <v>25</v>
      </c>
      <c r="B850" s="6">
        <v>0.82321953703703699</v>
      </c>
      <c r="C850">
        <v>4.57</v>
      </c>
      <c r="D850">
        <v>0.01</v>
      </c>
      <c r="E850">
        <v>7.1</v>
      </c>
      <c r="F850">
        <v>0</v>
      </c>
      <c r="G850">
        <v>0.04</v>
      </c>
      <c r="H850">
        <v>0.15</v>
      </c>
      <c r="I850">
        <v>0.1</v>
      </c>
      <c r="J850">
        <v>0.18</v>
      </c>
      <c r="K850">
        <v>60.000999999999998</v>
      </c>
      <c r="L850" s="5" t="s">
        <v>19</v>
      </c>
    </row>
    <row r="851" spans="1:12" x14ac:dyDescent="0.3">
      <c r="A851" s="5" t="s">
        <v>25</v>
      </c>
      <c r="B851" s="6">
        <v>0.82323111111111114</v>
      </c>
      <c r="C851">
        <v>4.87</v>
      </c>
      <c r="D851">
        <v>0.01</v>
      </c>
      <c r="E851">
        <v>7.5</v>
      </c>
      <c r="F851">
        <v>0</v>
      </c>
      <c r="G851">
        <v>0.05</v>
      </c>
      <c r="H851">
        <v>0.15</v>
      </c>
      <c r="I851">
        <v>0.1</v>
      </c>
      <c r="J851">
        <v>0.18</v>
      </c>
      <c r="K851">
        <v>59.999000000000002</v>
      </c>
      <c r="L851" s="5" t="s">
        <v>19</v>
      </c>
    </row>
    <row r="852" spans="1:12" x14ac:dyDescent="0.3">
      <c r="A852" s="5" t="s">
        <v>25</v>
      </c>
      <c r="B852" s="6">
        <v>0.82324268518518517</v>
      </c>
      <c r="C852">
        <v>4.78</v>
      </c>
      <c r="D852">
        <v>0.01</v>
      </c>
      <c r="E852">
        <v>7.5</v>
      </c>
      <c r="F852">
        <v>0</v>
      </c>
      <c r="G852">
        <v>0.05</v>
      </c>
      <c r="H852">
        <v>0.15</v>
      </c>
      <c r="I852">
        <v>0.1</v>
      </c>
      <c r="J852">
        <v>0.18</v>
      </c>
      <c r="K852">
        <v>60.002000000000002</v>
      </c>
      <c r="L852" s="5" t="s">
        <v>19</v>
      </c>
    </row>
    <row r="853" spans="1:12" x14ac:dyDescent="0.3">
      <c r="A853" s="5" t="s">
        <v>25</v>
      </c>
      <c r="B853" s="6">
        <v>0.82325425925925921</v>
      </c>
      <c r="C853">
        <v>4.7300000000000004</v>
      </c>
      <c r="D853">
        <v>0.01</v>
      </c>
      <c r="E853">
        <v>7.4</v>
      </c>
      <c r="F853">
        <v>0</v>
      </c>
      <c r="G853">
        <v>0.04</v>
      </c>
      <c r="H853">
        <v>0.15</v>
      </c>
      <c r="I853">
        <v>0.1</v>
      </c>
      <c r="J853">
        <v>0.18</v>
      </c>
      <c r="K853">
        <v>60.002000000000002</v>
      </c>
      <c r="L853" s="5" t="s">
        <v>19</v>
      </c>
    </row>
    <row r="854" spans="1:12" x14ac:dyDescent="0.3">
      <c r="A854" s="5" t="s">
        <v>25</v>
      </c>
      <c r="B854" s="6">
        <v>0.82326583333333336</v>
      </c>
      <c r="C854">
        <v>5.01</v>
      </c>
      <c r="D854">
        <v>0.01</v>
      </c>
      <c r="E854">
        <v>7.7</v>
      </c>
      <c r="F854">
        <v>0</v>
      </c>
      <c r="G854">
        <v>0.04</v>
      </c>
      <c r="H854">
        <v>0.15</v>
      </c>
      <c r="I854">
        <v>0.1</v>
      </c>
      <c r="J854">
        <v>0.18</v>
      </c>
      <c r="K854">
        <v>60.003</v>
      </c>
      <c r="L854" s="5" t="s">
        <v>19</v>
      </c>
    </row>
    <row r="855" spans="1:12" x14ac:dyDescent="0.3">
      <c r="A855" s="5" t="s">
        <v>25</v>
      </c>
      <c r="B855" s="6">
        <v>0.8232774074074074</v>
      </c>
      <c r="C855">
        <v>4.68</v>
      </c>
      <c r="D855">
        <v>0.01</v>
      </c>
      <c r="E855">
        <v>7.4</v>
      </c>
      <c r="F855">
        <v>0</v>
      </c>
      <c r="G855">
        <v>0.04</v>
      </c>
      <c r="H855">
        <v>0.15</v>
      </c>
      <c r="I855">
        <v>0.1</v>
      </c>
      <c r="J855">
        <v>0.18</v>
      </c>
      <c r="K855">
        <v>60.003999999999998</v>
      </c>
      <c r="L855" s="5" t="s">
        <v>19</v>
      </c>
    </row>
    <row r="856" spans="1:12" x14ac:dyDescent="0.3">
      <c r="A856" s="5" t="s">
        <v>25</v>
      </c>
      <c r="B856" s="6">
        <v>0.82328898148148144</v>
      </c>
      <c r="C856">
        <v>5.03</v>
      </c>
      <c r="D856">
        <v>0.01</v>
      </c>
      <c r="E856">
        <v>7.7</v>
      </c>
      <c r="F856">
        <v>0</v>
      </c>
      <c r="G856">
        <v>0.04</v>
      </c>
      <c r="H856">
        <v>0.14000000000000001</v>
      </c>
      <c r="I856">
        <v>0.1</v>
      </c>
      <c r="J856">
        <v>0.18</v>
      </c>
      <c r="K856">
        <v>60.002000000000002</v>
      </c>
      <c r="L856" s="5" t="s">
        <v>19</v>
      </c>
    </row>
    <row r="857" spans="1:12" x14ac:dyDescent="0.3">
      <c r="A857" s="5" t="s">
        <v>25</v>
      </c>
      <c r="B857" s="6">
        <v>0.82330055555555559</v>
      </c>
      <c r="C857">
        <v>4.76</v>
      </c>
      <c r="D857">
        <v>0.01</v>
      </c>
      <c r="E857">
        <v>7.6</v>
      </c>
      <c r="F857">
        <v>0</v>
      </c>
      <c r="G857">
        <v>0.05</v>
      </c>
      <c r="H857">
        <v>0.14000000000000001</v>
      </c>
      <c r="I857">
        <v>0.1</v>
      </c>
      <c r="J857">
        <v>0.18</v>
      </c>
      <c r="K857">
        <v>60.005000000000003</v>
      </c>
      <c r="L857" s="5" t="s">
        <v>19</v>
      </c>
    </row>
    <row r="858" spans="1:12" x14ac:dyDescent="0.3">
      <c r="A858" s="5" t="s">
        <v>25</v>
      </c>
      <c r="B858" s="6">
        <v>0.82331212962962963</v>
      </c>
      <c r="C858">
        <v>4.79</v>
      </c>
      <c r="D858">
        <v>0.01</v>
      </c>
      <c r="E858">
        <v>7.6</v>
      </c>
      <c r="F858">
        <v>0</v>
      </c>
      <c r="G858">
        <v>0.04</v>
      </c>
      <c r="H858">
        <v>0.15</v>
      </c>
      <c r="I858">
        <v>0.1</v>
      </c>
      <c r="J858">
        <v>0.18</v>
      </c>
      <c r="K858">
        <v>60.003999999999998</v>
      </c>
      <c r="L858" s="5" t="s">
        <v>19</v>
      </c>
    </row>
    <row r="859" spans="1:12" x14ac:dyDescent="0.3">
      <c r="A859" s="5" t="s">
        <v>25</v>
      </c>
      <c r="B859" s="6">
        <v>0.82332370370370367</v>
      </c>
      <c r="C859">
        <v>4.53</v>
      </c>
      <c r="D859">
        <v>0.01</v>
      </c>
      <c r="E859">
        <v>7.3</v>
      </c>
      <c r="F859">
        <v>0</v>
      </c>
      <c r="G859">
        <v>0.04</v>
      </c>
      <c r="H859">
        <v>0.15</v>
      </c>
      <c r="I859">
        <v>0.1</v>
      </c>
      <c r="J859">
        <v>0.18</v>
      </c>
      <c r="K859">
        <v>60.006999999999998</v>
      </c>
      <c r="L859" s="5" t="s">
        <v>19</v>
      </c>
    </row>
    <row r="860" spans="1:12" x14ac:dyDescent="0.3">
      <c r="A860" s="5" t="s">
        <v>25</v>
      </c>
      <c r="B860" s="6">
        <v>0.82333527777777782</v>
      </c>
      <c r="C860">
        <v>4.6900000000000004</v>
      </c>
      <c r="D860">
        <v>0.01</v>
      </c>
      <c r="E860">
        <v>7.6</v>
      </c>
      <c r="F860">
        <v>0</v>
      </c>
      <c r="G860">
        <v>0.04</v>
      </c>
      <c r="H860">
        <v>0.15</v>
      </c>
      <c r="I860">
        <v>0.1</v>
      </c>
      <c r="J860">
        <v>0.18</v>
      </c>
      <c r="K860">
        <v>60.003999999999998</v>
      </c>
      <c r="L860" s="5" t="s">
        <v>19</v>
      </c>
    </row>
    <row r="861" spans="1:12" x14ac:dyDescent="0.3">
      <c r="A861" s="5" t="s">
        <v>25</v>
      </c>
      <c r="B861" s="6">
        <v>0.82334685185185186</v>
      </c>
      <c r="C861">
        <v>4.71</v>
      </c>
      <c r="D861">
        <v>0.01</v>
      </c>
      <c r="E861">
        <v>7.6</v>
      </c>
      <c r="F861">
        <v>0</v>
      </c>
      <c r="G861">
        <v>0.05</v>
      </c>
      <c r="H861">
        <v>0.15</v>
      </c>
      <c r="I861">
        <v>0.1</v>
      </c>
      <c r="J861">
        <v>0.18</v>
      </c>
      <c r="K861">
        <v>60.006</v>
      </c>
      <c r="L861" s="5" t="s">
        <v>19</v>
      </c>
    </row>
    <row r="862" spans="1:12" x14ac:dyDescent="0.3">
      <c r="A862" s="5" t="s">
        <v>25</v>
      </c>
      <c r="B862" s="6">
        <v>0.8233584259259259</v>
      </c>
      <c r="C862">
        <v>4.6500000000000004</v>
      </c>
      <c r="D862">
        <v>0.01</v>
      </c>
      <c r="E862">
        <v>7.5</v>
      </c>
      <c r="F862">
        <v>0</v>
      </c>
      <c r="G862">
        <v>0.05</v>
      </c>
      <c r="H862">
        <v>0.15</v>
      </c>
      <c r="I862">
        <v>0.1</v>
      </c>
      <c r="J862">
        <v>0.18</v>
      </c>
      <c r="K862">
        <v>60.003999999999998</v>
      </c>
      <c r="L862" s="5" t="s">
        <v>19</v>
      </c>
    </row>
    <row r="863" spans="1:12" x14ac:dyDescent="0.3">
      <c r="A863" s="5" t="s">
        <v>25</v>
      </c>
      <c r="B863" s="6">
        <v>0.82337000000000005</v>
      </c>
      <c r="C863">
        <v>4.93</v>
      </c>
      <c r="D863">
        <v>0.01</v>
      </c>
      <c r="E863">
        <v>7.9</v>
      </c>
      <c r="F863">
        <v>0</v>
      </c>
      <c r="G863">
        <v>0.05</v>
      </c>
      <c r="H863">
        <v>0.15</v>
      </c>
      <c r="I863">
        <v>0.1</v>
      </c>
      <c r="J863">
        <v>0.18</v>
      </c>
      <c r="K863">
        <v>60</v>
      </c>
      <c r="L863" s="5" t="s">
        <v>19</v>
      </c>
    </row>
    <row r="864" spans="1:12" x14ac:dyDescent="0.3">
      <c r="A864" s="5" t="s">
        <v>25</v>
      </c>
      <c r="B864" s="6">
        <v>0.82338157407407409</v>
      </c>
      <c r="C864">
        <v>4.4800000000000004</v>
      </c>
      <c r="D864">
        <v>0.01</v>
      </c>
      <c r="E864">
        <v>7.4</v>
      </c>
      <c r="F864">
        <v>0</v>
      </c>
      <c r="G864">
        <v>0.05</v>
      </c>
      <c r="H864">
        <v>0.15</v>
      </c>
      <c r="I864">
        <v>0.1</v>
      </c>
      <c r="J864">
        <v>0.18</v>
      </c>
      <c r="K864">
        <v>60.002000000000002</v>
      </c>
      <c r="L864" s="5" t="s">
        <v>19</v>
      </c>
    </row>
    <row r="865" spans="1:12" x14ac:dyDescent="0.3">
      <c r="A865" s="5" t="s">
        <v>25</v>
      </c>
      <c r="B865" s="6">
        <v>0.82339314814814812</v>
      </c>
      <c r="C865">
        <v>4.72</v>
      </c>
      <c r="D865">
        <v>0.01</v>
      </c>
      <c r="E865">
        <v>7.7</v>
      </c>
      <c r="F865">
        <v>0</v>
      </c>
      <c r="G865">
        <v>0.05</v>
      </c>
      <c r="H865">
        <v>0.15</v>
      </c>
      <c r="I865">
        <v>0.1</v>
      </c>
      <c r="J865">
        <v>0.18</v>
      </c>
      <c r="K865">
        <v>59.999000000000002</v>
      </c>
      <c r="L865" s="5" t="s">
        <v>19</v>
      </c>
    </row>
    <row r="866" spans="1:12" x14ac:dyDescent="0.3">
      <c r="A866" s="5" t="s">
        <v>25</v>
      </c>
      <c r="B866" s="6">
        <v>0.82340472222222227</v>
      </c>
      <c r="C866">
        <v>4.82</v>
      </c>
      <c r="D866">
        <v>0.01</v>
      </c>
      <c r="E866">
        <v>7.7</v>
      </c>
      <c r="F866">
        <v>0</v>
      </c>
      <c r="G866">
        <v>0.05</v>
      </c>
      <c r="H866">
        <v>0.15</v>
      </c>
      <c r="I866">
        <v>0.1</v>
      </c>
      <c r="J866">
        <v>0.18</v>
      </c>
      <c r="K866">
        <v>59.999000000000002</v>
      </c>
      <c r="L866" s="5" t="s">
        <v>19</v>
      </c>
    </row>
    <row r="867" spans="1:12" x14ac:dyDescent="0.3">
      <c r="A867" s="5" t="s">
        <v>25</v>
      </c>
      <c r="B867" s="6">
        <v>0.82341629629629631</v>
      </c>
      <c r="C867">
        <v>4.46</v>
      </c>
      <c r="D867">
        <v>0.01</v>
      </c>
      <c r="E867">
        <v>7.2</v>
      </c>
      <c r="F867">
        <v>0</v>
      </c>
      <c r="G867">
        <v>0.05</v>
      </c>
      <c r="H867">
        <v>0.15</v>
      </c>
      <c r="I867">
        <v>0.1</v>
      </c>
      <c r="J867">
        <v>0.18</v>
      </c>
      <c r="K867">
        <v>59.997</v>
      </c>
      <c r="L867" s="5" t="s">
        <v>19</v>
      </c>
    </row>
    <row r="868" spans="1:12" x14ac:dyDescent="0.3">
      <c r="A868" s="5" t="s">
        <v>25</v>
      </c>
      <c r="B868" s="6">
        <v>0.82342787037037035</v>
      </c>
      <c r="C868">
        <v>4.97</v>
      </c>
      <c r="D868">
        <v>0.01</v>
      </c>
      <c r="E868">
        <v>8.1999999999999993</v>
      </c>
      <c r="F868">
        <v>0</v>
      </c>
      <c r="G868">
        <v>0.05</v>
      </c>
      <c r="H868">
        <v>0.15</v>
      </c>
      <c r="I868">
        <v>0.1</v>
      </c>
      <c r="J868">
        <v>0.18</v>
      </c>
      <c r="K868">
        <v>59.994999999999997</v>
      </c>
      <c r="L868" s="5" t="s">
        <v>19</v>
      </c>
    </row>
    <row r="869" spans="1:12" x14ac:dyDescent="0.3">
      <c r="A869" s="5" t="s">
        <v>25</v>
      </c>
      <c r="B869" s="6">
        <v>0.82343944444444439</v>
      </c>
      <c r="C869">
        <v>4.53</v>
      </c>
      <c r="D869">
        <v>0.01</v>
      </c>
      <c r="E869">
        <v>7.5</v>
      </c>
      <c r="F869">
        <v>0</v>
      </c>
      <c r="G869">
        <v>0.05</v>
      </c>
      <c r="H869">
        <v>0.15</v>
      </c>
      <c r="I869">
        <v>0.1</v>
      </c>
      <c r="J869">
        <v>0.18</v>
      </c>
      <c r="K869">
        <v>59.994999999999997</v>
      </c>
      <c r="L869" s="5" t="s">
        <v>19</v>
      </c>
    </row>
    <row r="870" spans="1:12" x14ac:dyDescent="0.3">
      <c r="A870" s="5" t="s">
        <v>25</v>
      </c>
      <c r="B870" s="6">
        <v>0.82345101851851854</v>
      </c>
      <c r="C870">
        <v>4.83</v>
      </c>
      <c r="D870">
        <v>0.01</v>
      </c>
      <c r="E870">
        <v>7.7</v>
      </c>
      <c r="F870">
        <v>0</v>
      </c>
      <c r="G870">
        <v>0.05</v>
      </c>
      <c r="H870">
        <v>0.15</v>
      </c>
      <c r="I870">
        <v>0.1</v>
      </c>
      <c r="J870">
        <v>0.18</v>
      </c>
      <c r="K870">
        <v>59.994999999999997</v>
      </c>
      <c r="L870" s="5" t="s">
        <v>19</v>
      </c>
    </row>
    <row r="871" spans="1:12" x14ac:dyDescent="0.3">
      <c r="A871" s="5" t="s">
        <v>25</v>
      </c>
      <c r="B871" s="6">
        <v>0.82346259259259258</v>
      </c>
      <c r="C871">
        <v>4.54</v>
      </c>
      <c r="D871">
        <v>0.01</v>
      </c>
      <c r="E871">
        <v>7.4</v>
      </c>
      <c r="F871">
        <v>0</v>
      </c>
      <c r="G871">
        <v>0.05</v>
      </c>
      <c r="H871">
        <v>0.15</v>
      </c>
      <c r="I871">
        <v>0.1</v>
      </c>
      <c r="J871">
        <v>0.18</v>
      </c>
      <c r="K871">
        <v>59.993000000000002</v>
      </c>
      <c r="L871" s="5" t="s">
        <v>19</v>
      </c>
    </row>
    <row r="872" spans="1:12" x14ac:dyDescent="0.3">
      <c r="A872" s="5" t="s">
        <v>25</v>
      </c>
      <c r="B872" s="6">
        <v>0.82347416666666662</v>
      </c>
      <c r="C872">
        <v>4.71</v>
      </c>
      <c r="D872">
        <v>0.01</v>
      </c>
      <c r="E872">
        <v>7.7</v>
      </c>
      <c r="F872">
        <v>0</v>
      </c>
      <c r="G872">
        <v>0.05</v>
      </c>
      <c r="H872">
        <v>0.15</v>
      </c>
      <c r="I872">
        <v>0.1</v>
      </c>
      <c r="J872">
        <v>0.18</v>
      </c>
      <c r="K872">
        <v>59.993000000000002</v>
      </c>
      <c r="L872" s="5" t="s">
        <v>19</v>
      </c>
    </row>
    <row r="873" spans="1:12" x14ac:dyDescent="0.3">
      <c r="A873" s="5" t="s">
        <v>25</v>
      </c>
      <c r="B873" s="6">
        <v>0.82348574074074077</v>
      </c>
      <c r="C873">
        <v>4.5599999999999996</v>
      </c>
      <c r="D873">
        <v>0.01</v>
      </c>
      <c r="E873">
        <v>7.4</v>
      </c>
      <c r="F873">
        <v>0</v>
      </c>
      <c r="G873">
        <v>0.05</v>
      </c>
      <c r="H873">
        <v>0.15</v>
      </c>
      <c r="I873">
        <v>0.1</v>
      </c>
      <c r="J873">
        <v>0.18</v>
      </c>
      <c r="K873">
        <v>59.993000000000002</v>
      </c>
      <c r="L873" s="5" t="s">
        <v>19</v>
      </c>
    </row>
    <row r="874" spans="1:12" x14ac:dyDescent="0.3">
      <c r="A874" s="5" t="s">
        <v>25</v>
      </c>
      <c r="B874" s="6">
        <v>0.82349731481481481</v>
      </c>
      <c r="C874">
        <v>4.63</v>
      </c>
      <c r="D874">
        <v>0.01</v>
      </c>
      <c r="E874">
        <v>7.6</v>
      </c>
      <c r="F874">
        <v>0</v>
      </c>
      <c r="G874">
        <v>0.05</v>
      </c>
      <c r="H874">
        <v>0.15</v>
      </c>
      <c r="I874">
        <v>0.1</v>
      </c>
      <c r="J874">
        <v>0.18</v>
      </c>
      <c r="K874">
        <v>59.993000000000002</v>
      </c>
      <c r="L874" s="5" t="s">
        <v>19</v>
      </c>
    </row>
    <row r="875" spans="1:12" x14ac:dyDescent="0.3">
      <c r="A875" s="5" t="s">
        <v>25</v>
      </c>
      <c r="B875" s="6">
        <v>0.82350888888888885</v>
      </c>
      <c r="C875">
        <v>4.8600000000000003</v>
      </c>
      <c r="D875">
        <v>0.01</v>
      </c>
      <c r="E875">
        <v>7.9</v>
      </c>
      <c r="F875">
        <v>0</v>
      </c>
      <c r="G875">
        <v>0.04</v>
      </c>
      <c r="H875">
        <v>0.15</v>
      </c>
      <c r="I875">
        <v>0.1</v>
      </c>
      <c r="J875">
        <v>0.18</v>
      </c>
      <c r="K875">
        <v>59.991999999999997</v>
      </c>
      <c r="L875" s="5" t="s">
        <v>19</v>
      </c>
    </row>
    <row r="876" spans="1:12" x14ac:dyDescent="0.3">
      <c r="A876" s="5" t="s">
        <v>25</v>
      </c>
      <c r="B876" s="6">
        <v>0.823520462962963</v>
      </c>
      <c r="C876">
        <v>4.57</v>
      </c>
      <c r="D876">
        <v>0.01</v>
      </c>
      <c r="E876">
        <v>7.4</v>
      </c>
      <c r="F876">
        <v>0</v>
      </c>
      <c r="G876">
        <v>0.05</v>
      </c>
      <c r="H876">
        <v>0.15</v>
      </c>
      <c r="I876">
        <v>0.1</v>
      </c>
      <c r="J876">
        <v>0.18</v>
      </c>
      <c r="K876">
        <v>59.994</v>
      </c>
      <c r="L876" s="5" t="s">
        <v>19</v>
      </c>
    </row>
    <row r="877" spans="1:12" x14ac:dyDescent="0.3">
      <c r="A877" s="5" t="s">
        <v>25</v>
      </c>
      <c r="B877" s="6">
        <v>0.82353203703703703</v>
      </c>
      <c r="C877">
        <v>4.8899999999999997</v>
      </c>
      <c r="D877">
        <v>0.01</v>
      </c>
      <c r="E877">
        <v>8</v>
      </c>
      <c r="F877">
        <v>0</v>
      </c>
      <c r="G877">
        <v>0.05</v>
      </c>
      <c r="H877">
        <v>0.15</v>
      </c>
      <c r="I877">
        <v>0.1</v>
      </c>
      <c r="J877">
        <v>0.18</v>
      </c>
      <c r="K877">
        <v>59.991999999999997</v>
      </c>
      <c r="L877" s="5" t="s">
        <v>19</v>
      </c>
    </row>
    <row r="878" spans="1:12" x14ac:dyDescent="0.3">
      <c r="A878" s="5" t="s">
        <v>25</v>
      </c>
      <c r="B878" s="6">
        <v>0.82354361111111107</v>
      </c>
      <c r="C878">
        <v>4.45</v>
      </c>
      <c r="D878">
        <v>0.01</v>
      </c>
      <c r="E878">
        <v>7.4</v>
      </c>
      <c r="F878">
        <v>0</v>
      </c>
      <c r="G878">
        <v>0.04</v>
      </c>
      <c r="H878">
        <v>0.15</v>
      </c>
      <c r="I878">
        <v>0.1</v>
      </c>
      <c r="J878">
        <v>0.18</v>
      </c>
      <c r="K878">
        <v>59.993000000000002</v>
      </c>
      <c r="L878" s="5" t="s">
        <v>19</v>
      </c>
    </row>
    <row r="879" spans="1:12" x14ac:dyDescent="0.3">
      <c r="A879" s="5" t="s">
        <v>25</v>
      </c>
      <c r="B879" s="6">
        <v>0.82355518518518522</v>
      </c>
      <c r="C879">
        <v>4.71</v>
      </c>
      <c r="D879">
        <v>0.01</v>
      </c>
      <c r="E879">
        <v>7.8</v>
      </c>
      <c r="F879">
        <v>0</v>
      </c>
      <c r="G879">
        <v>0.05</v>
      </c>
      <c r="H879">
        <v>0.15</v>
      </c>
      <c r="I879">
        <v>0.1</v>
      </c>
      <c r="J879">
        <v>0.18</v>
      </c>
      <c r="K879">
        <v>59.991999999999997</v>
      </c>
      <c r="L879" s="5" t="s">
        <v>19</v>
      </c>
    </row>
    <row r="880" spans="1:12" x14ac:dyDescent="0.3">
      <c r="A880" s="5" t="s">
        <v>25</v>
      </c>
      <c r="B880" s="6">
        <v>0.82356675925925926</v>
      </c>
      <c r="C880">
        <v>4.59</v>
      </c>
      <c r="D880">
        <v>0.01</v>
      </c>
      <c r="E880">
        <v>7.5</v>
      </c>
      <c r="F880">
        <v>0</v>
      </c>
      <c r="G880">
        <v>0.05</v>
      </c>
      <c r="H880">
        <v>0.15</v>
      </c>
      <c r="I880">
        <v>0.1</v>
      </c>
      <c r="J880">
        <v>0.18</v>
      </c>
      <c r="K880">
        <v>59.991999999999997</v>
      </c>
      <c r="L880" s="5" t="s">
        <v>19</v>
      </c>
    </row>
    <row r="881" spans="1:12" x14ac:dyDescent="0.3">
      <c r="A881" s="5" t="s">
        <v>25</v>
      </c>
      <c r="B881" s="6">
        <v>0.8235783333333333</v>
      </c>
      <c r="C881">
        <v>4.5599999999999996</v>
      </c>
      <c r="D881">
        <v>0.01</v>
      </c>
      <c r="E881">
        <v>7.4</v>
      </c>
      <c r="F881">
        <v>0</v>
      </c>
      <c r="G881">
        <v>0.05</v>
      </c>
      <c r="H881">
        <v>0.15</v>
      </c>
      <c r="I881">
        <v>0.1</v>
      </c>
      <c r="J881">
        <v>0.18</v>
      </c>
      <c r="K881">
        <v>59.993000000000002</v>
      </c>
      <c r="L881" s="5" t="s">
        <v>19</v>
      </c>
    </row>
    <row r="882" spans="1:12" x14ac:dyDescent="0.3">
      <c r="A882" s="5" t="s">
        <v>25</v>
      </c>
      <c r="B882" s="6">
        <v>0.82358990740740745</v>
      </c>
      <c r="C882">
        <v>4.88</v>
      </c>
      <c r="D882">
        <v>0.01</v>
      </c>
      <c r="E882">
        <v>7.8</v>
      </c>
      <c r="F882">
        <v>0</v>
      </c>
      <c r="G882">
        <v>0.05</v>
      </c>
      <c r="H882">
        <v>0.15</v>
      </c>
      <c r="I882">
        <v>0.1</v>
      </c>
      <c r="J882">
        <v>0.18</v>
      </c>
      <c r="K882">
        <v>59.993000000000002</v>
      </c>
      <c r="L882" s="5" t="s">
        <v>19</v>
      </c>
    </row>
    <row r="883" spans="1:12" x14ac:dyDescent="0.3">
      <c r="A883" s="5" t="s">
        <v>25</v>
      </c>
      <c r="B883" s="6">
        <v>0.82360148148148149</v>
      </c>
      <c r="C883">
        <v>4.66</v>
      </c>
      <c r="D883">
        <v>0.01</v>
      </c>
      <c r="E883">
        <v>7.6</v>
      </c>
      <c r="F883">
        <v>0</v>
      </c>
      <c r="G883">
        <v>0.05</v>
      </c>
      <c r="H883">
        <v>0.15</v>
      </c>
      <c r="I883">
        <v>0.1</v>
      </c>
      <c r="J883">
        <v>0.18</v>
      </c>
      <c r="K883">
        <v>59.994</v>
      </c>
      <c r="L883" s="5" t="s">
        <v>19</v>
      </c>
    </row>
    <row r="884" spans="1:12" x14ac:dyDescent="0.3">
      <c r="A884" s="5" t="s">
        <v>25</v>
      </c>
      <c r="B884" s="6">
        <v>0.82361305555555553</v>
      </c>
      <c r="C884">
        <v>4.84</v>
      </c>
      <c r="D884">
        <v>0.01</v>
      </c>
      <c r="E884">
        <v>7.9</v>
      </c>
      <c r="F884">
        <v>0</v>
      </c>
      <c r="G884">
        <v>0.05</v>
      </c>
      <c r="H884">
        <v>0.15</v>
      </c>
      <c r="I884">
        <v>0.1</v>
      </c>
      <c r="J884">
        <v>0.18</v>
      </c>
      <c r="K884">
        <v>59.993000000000002</v>
      </c>
      <c r="L884" s="5" t="s">
        <v>19</v>
      </c>
    </row>
    <row r="885" spans="1:12" x14ac:dyDescent="0.3">
      <c r="A885" s="5" t="s">
        <v>25</v>
      </c>
      <c r="B885" s="6">
        <v>0.82362462962962968</v>
      </c>
      <c r="C885">
        <v>4.46</v>
      </c>
      <c r="D885">
        <v>0.01</v>
      </c>
      <c r="E885">
        <v>7.2</v>
      </c>
      <c r="F885">
        <v>0</v>
      </c>
      <c r="G885">
        <v>0.05</v>
      </c>
      <c r="H885">
        <v>0.15</v>
      </c>
      <c r="I885">
        <v>0.1</v>
      </c>
      <c r="J885">
        <v>0.18</v>
      </c>
      <c r="K885">
        <v>59.994</v>
      </c>
      <c r="L885" s="5" t="s">
        <v>19</v>
      </c>
    </row>
    <row r="886" spans="1:12" x14ac:dyDescent="0.3">
      <c r="A886" s="5" t="s">
        <v>25</v>
      </c>
      <c r="B886" s="6">
        <v>0.82363620370370372</v>
      </c>
      <c r="C886">
        <v>4.62</v>
      </c>
      <c r="D886">
        <v>0.01</v>
      </c>
      <c r="E886">
        <v>7.6</v>
      </c>
      <c r="F886">
        <v>0</v>
      </c>
      <c r="G886">
        <v>0.05</v>
      </c>
      <c r="H886">
        <v>0.15</v>
      </c>
      <c r="I886">
        <v>0.1</v>
      </c>
      <c r="J886">
        <v>0.18</v>
      </c>
      <c r="K886">
        <v>59.994</v>
      </c>
      <c r="L886" s="5" t="s">
        <v>19</v>
      </c>
    </row>
    <row r="887" spans="1:12" x14ac:dyDescent="0.3">
      <c r="A887" s="5" t="s">
        <v>25</v>
      </c>
      <c r="B887" s="6">
        <v>0.82364777777777776</v>
      </c>
      <c r="C887">
        <v>4.6500000000000004</v>
      </c>
      <c r="D887">
        <v>0.01</v>
      </c>
      <c r="E887">
        <v>7.7</v>
      </c>
      <c r="F887">
        <v>0</v>
      </c>
      <c r="G887">
        <v>0.05</v>
      </c>
      <c r="H887">
        <v>0.14000000000000001</v>
      </c>
      <c r="I887">
        <v>0.1</v>
      </c>
      <c r="J887">
        <v>0.18</v>
      </c>
      <c r="K887">
        <v>59.994999999999997</v>
      </c>
      <c r="L887" s="5" t="s">
        <v>19</v>
      </c>
    </row>
    <row r="888" spans="1:12" x14ac:dyDescent="0.3">
      <c r="A888" s="5" t="s">
        <v>25</v>
      </c>
      <c r="B888" s="6">
        <v>0.82365935185185191</v>
      </c>
      <c r="C888">
        <v>4.6399999999999997</v>
      </c>
      <c r="D888">
        <v>0.01</v>
      </c>
      <c r="E888">
        <v>7.7</v>
      </c>
      <c r="F888">
        <v>0</v>
      </c>
      <c r="G888">
        <v>0.05</v>
      </c>
      <c r="H888">
        <v>0.15</v>
      </c>
      <c r="I888">
        <v>0.1</v>
      </c>
      <c r="J888">
        <v>0.18</v>
      </c>
      <c r="K888">
        <v>59.994999999999997</v>
      </c>
      <c r="L888" s="5" t="s">
        <v>19</v>
      </c>
    </row>
    <row r="889" spans="1:12" x14ac:dyDescent="0.3">
      <c r="A889" s="5" t="s">
        <v>25</v>
      </c>
      <c r="B889" s="6">
        <v>0.82367092592592595</v>
      </c>
      <c r="C889">
        <v>5.1100000000000003</v>
      </c>
      <c r="D889">
        <v>0.01</v>
      </c>
      <c r="E889">
        <v>8.5</v>
      </c>
      <c r="F889">
        <v>0</v>
      </c>
      <c r="G889">
        <v>0.05</v>
      </c>
      <c r="H889">
        <v>0.15</v>
      </c>
      <c r="I889">
        <v>0.1</v>
      </c>
      <c r="J889">
        <v>0.18</v>
      </c>
      <c r="K889">
        <v>59.994</v>
      </c>
      <c r="L889" s="5" t="s">
        <v>19</v>
      </c>
    </row>
    <row r="890" spans="1:12" x14ac:dyDescent="0.3">
      <c r="A890" s="5" t="s">
        <v>25</v>
      </c>
      <c r="B890" s="6">
        <v>0.82368249999999998</v>
      </c>
      <c r="C890">
        <v>4.3099999999999996</v>
      </c>
      <c r="D890">
        <v>0.01</v>
      </c>
      <c r="E890">
        <v>7.1</v>
      </c>
      <c r="F890">
        <v>0</v>
      </c>
      <c r="G890">
        <v>0.05</v>
      </c>
      <c r="H890">
        <v>0.15</v>
      </c>
      <c r="I890">
        <v>0.1</v>
      </c>
      <c r="J890">
        <v>0.18</v>
      </c>
      <c r="K890">
        <v>59.994999999999997</v>
      </c>
      <c r="L890" s="5" t="s">
        <v>19</v>
      </c>
    </row>
    <row r="891" spans="1:12" x14ac:dyDescent="0.3">
      <c r="A891" s="5" t="s">
        <v>25</v>
      </c>
      <c r="B891" s="6">
        <v>0.82369407407407402</v>
      </c>
      <c r="C891">
        <v>4.76</v>
      </c>
      <c r="D891">
        <v>0.01</v>
      </c>
      <c r="E891">
        <v>7.8</v>
      </c>
      <c r="F891">
        <v>0</v>
      </c>
      <c r="G891">
        <v>0.05</v>
      </c>
      <c r="H891">
        <v>0.15</v>
      </c>
      <c r="I891">
        <v>0.1</v>
      </c>
      <c r="J891">
        <v>0.18</v>
      </c>
      <c r="K891">
        <v>59.994</v>
      </c>
      <c r="L891" s="5" t="s">
        <v>19</v>
      </c>
    </row>
    <row r="892" spans="1:12" x14ac:dyDescent="0.3">
      <c r="A892" s="5" t="s">
        <v>25</v>
      </c>
      <c r="B892" s="6">
        <v>0.82370564814814817</v>
      </c>
      <c r="C892">
        <v>4.4000000000000004</v>
      </c>
      <c r="D892">
        <v>0.01</v>
      </c>
      <c r="E892">
        <v>7.2</v>
      </c>
      <c r="F892">
        <v>0</v>
      </c>
      <c r="G892">
        <v>0.05</v>
      </c>
      <c r="H892">
        <v>0.15</v>
      </c>
      <c r="I892">
        <v>0.1</v>
      </c>
      <c r="J892">
        <v>0.18</v>
      </c>
      <c r="K892">
        <v>59.994</v>
      </c>
      <c r="L892" s="5" t="s">
        <v>19</v>
      </c>
    </row>
    <row r="893" spans="1:12" x14ac:dyDescent="0.3">
      <c r="A893" s="5" t="s">
        <v>25</v>
      </c>
      <c r="B893" s="6">
        <v>0.82371722222222221</v>
      </c>
      <c r="C893">
        <v>4.57</v>
      </c>
      <c r="D893">
        <v>0.01</v>
      </c>
      <c r="E893">
        <v>7.4</v>
      </c>
      <c r="F893">
        <v>0</v>
      </c>
      <c r="G893">
        <v>0.05</v>
      </c>
      <c r="H893">
        <v>0.15</v>
      </c>
      <c r="I893">
        <v>0.1</v>
      </c>
      <c r="J893">
        <v>0.18</v>
      </c>
      <c r="K893">
        <v>59.994</v>
      </c>
      <c r="L893" s="5" t="s">
        <v>19</v>
      </c>
    </row>
    <row r="894" spans="1:12" x14ac:dyDescent="0.3">
      <c r="A894" s="5" t="s">
        <v>25</v>
      </c>
      <c r="B894" s="6">
        <v>0.82372879629629625</v>
      </c>
      <c r="C894">
        <v>4.66</v>
      </c>
      <c r="D894">
        <v>0.01</v>
      </c>
      <c r="E894">
        <v>7.7</v>
      </c>
      <c r="F894">
        <v>0</v>
      </c>
      <c r="G894">
        <v>0.05</v>
      </c>
      <c r="H894">
        <v>0.15</v>
      </c>
      <c r="I894">
        <v>0.1</v>
      </c>
      <c r="J894">
        <v>0.18</v>
      </c>
      <c r="K894">
        <v>59.993000000000002</v>
      </c>
      <c r="L894" s="5" t="s">
        <v>19</v>
      </c>
    </row>
    <row r="895" spans="1:12" x14ac:dyDescent="0.3">
      <c r="A895" s="5" t="s">
        <v>25</v>
      </c>
      <c r="B895" s="6">
        <v>0.8237403703703704</v>
      </c>
      <c r="C895">
        <v>4.68</v>
      </c>
      <c r="D895">
        <v>0.01</v>
      </c>
      <c r="E895">
        <v>7.7</v>
      </c>
      <c r="F895">
        <v>0</v>
      </c>
      <c r="G895">
        <v>0.05</v>
      </c>
      <c r="H895">
        <v>0.15</v>
      </c>
      <c r="I895">
        <v>0.1</v>
      </c>
      <c r="J895">
        <v>0.18</v>
      </c>
      <c r="K895">
        <v>59.993000000000002</v>
      </c>
      <c r="L895" s="5" t="s">
        <v>19</v>
      </c>
    </row>
    <row r="896" spans="1:12" x14ac:dyDescent="0.3">
      <c r="A896" s="5" t="s">
        <v>25</v>
      </c>
      <c r="B896" s="6">
        <v>0.82375194444444444</v>
      </c>
      <c r="C896">
        <v>4.9400000000000004</v>
      </c>
      <c r="D896">
        <v>0.01</v>
      </c>
      <c r="E896">
        <v>8</v>
      </c>
      <c r="F896">
        <v>0</v>
      </c>
      <c r="G896">
        <v>0.05</v>
      </c>
      <c r="H896">
        <v>0.15</v>
      </c>
      <c r="I896">
        <v>0.1</v>
      </c>
      <c r="J896">
        <v>0.18</v>
      </c>
      <c r="K896">
        <v>59.991999999999997</v>
      </c>
      <c r="L896" s="5" t="s">
        <v>19</v>
      </c>
    </row>
    <row r="897" spans="1:12" x14ac:dyDescent="0.3">
      <c r="A897" s="5" t="s">
        <v>25</v>
      </c>
      <c r="B897" s="6">
        <v>0.82376351851851848</v>
      </c>
      <c r="C897">
        <v>4.3899999999999997</v>
      </c>
      <c r="D897">
        <v>0.01</v>
      </c>
      <c r="E897">
        <v>7.3</v>
      </c>
      <c r="F897">
        <v>0</v>
      </c>
      <c r="G897">
        <v>0.04</v>
      </c>
      <c r="H897">
        <v>0.15</v>
      </c>
      <c r="I897">
        <v>0.1</v>
      </c>
      <c r="J897">
        <v>0.18</v>
      </c>
      <c r="K897">
        <v>59.993000000000002</v>
      </c>
      <c r="L897" s="5" t="s">
        <v>19</v>
      </c>
    </row>
    <row r="898" spans="1:12" x14ac:dyDescent="0.3">
      <c r="A898" s="5" t="s">
        <v>25</v>
      </c>
      <c r="B898" s="6">
        <v>0.82377509259259263</v>
      </c>
      <c r="C898">
        <v>4.7300000000000004</v>
      </c>
      <c r="D898">
        <v>0.01</v>
      </c>
      <c r="E898">
        <v>7.7</v>
      </c>
      <c r="F898">
        <v>0</v>
      </c>
      <c r="G898">
        <v>0.05</v>
      </c>
      <c r="H898">
        <v>0.15</v>
      </c>
      <c r="I898">
        <v>0.1</v>
      </c>
      <c r="J898">
        <v>0.18</v>
      </c>
      <c r="K898">
        <v>59.993000000000002</v>
      </c>
      <c r="L898" s="5" t="s">
        <v>19</v>
      </c>
    </row>
    <row r="899" spans="1:12" x14ac:dyDescent="0.3">
      <c r="A899" s="5" t="s">
        <v>25</v>
      </c>
      <c r="B899" s="6">
        <v>0.82378666666666667</v>
      </c>
      <c r="C899">
        <v>4.46</v>
      </c>
      <c r="D899">
        <v>0.01</v>
      </c>
      <c r="E899">
        <v>7.4</v>
      </c>
      <c r="F899">
        <v>0</v>
      </c>
      <c r="G899">
        <v>0.05</v>
      </c>
      <c r="H899">
        <v>0.15</v>
      </c>
      <c r="I899">
        <v>0.1</v>
      </c>
      <c r="J899">
        <v>0.18</v>
      </c>
      <c r="K899">
        <v>59.994</v>
      </c>
      <c r="L899" s="5" t="s">
        <v>19</v>
      </c>
    </row>
    <row r="900" spans="1:12" x14ac:dyDescent="0.3">
      <c r="A900" s="5" t="s">
        <v>25</v>
      </c>
      <c r="B900" s="6">
        <v>0.82379824074074071</v>
      </c>
      <c r="C900">
        <v>4.7</v>
      </c>
      <c r="D900">
        <v>0.01</v>
      </c>
      <c r="E900">
        <v>7.7</v>
      </c>
      <c r="F900">
        <v>0</v>
      </c>
      <c r="G900">
        <v>0.05</v>
      </c>
      <c r="H900">
        <v>0.15</v>
      </c>
      <c r="I900">
        <v>0.1</v>
      </c>
      <c r="J900">
        <v>0.18</v>
      </c>
      <c r="K900">
        <v>59.994</v>
      </c>
      <c r="L900" s="5" t="s">
        <v>19</v>
      </c>
    </row>
    <row r="901" spans="1:12" x14ac:dyDescent="0.3">
      <c r="A901" s="5" t="s">
        <v>25</v>
      </c>
      <c r="B901" s="6">
        <v>0.82380981481481486</v>
      </c>
      <c r="C901">
        <v>4.67</v>
      </c>
      <c r="D901">
        <v>0.01</v>
      </c>
      <c r="E901">
        <v>7.7</v>
      </c>
      <c r="F901">
        <v>0</v>
      </c>
      <c r="G901">
        <v>0.05</v>
      </c>
      <c r="H901">
        <v>0.15</v>
      </c>
      <c r="I901">
        <v>0.1</v>
      </c>
      <c r="J901">
        <v>0.18</v>
      </c>
      <c r="K901">
        <v>59.994</v>
      </c>
      <c r="L901" s="5" t="s">
        <v>19</v>
      </c>
    </row>
    <row r="902" spans="1:12" x14ac:dyDescent="0.3">
      <c r="A902" s="5" t="s">
        <v>25</v>
      </c>
      <c r="B902" s="6">
        <v>0.82382138888888889</v>
      </c>
      <c r="C902">
        <v>4.5</v>
      </c>
      <c r="D902">
        <v>0.01</v>
      </c>
      <c r="E902">
        <v>7.3</v>
      </c>
      <c r="F902">
        <v>0</v>
      </c>
      <c r="G902">
        <v>0.05</v>
      </c>
      <c r="H902">
        <v>0.15</v>
      </c>
      <c r="I902">
        <v>0.1</v>
      </c>
      <c r="J902">
        <v>0.18</v>
      </c>
      <c r="K902">
        <v>59.994999999999997</v>
      </c>
      <c r="L902" s="5" t="s">
        <v>19</v>
      </c>
    </row>
    <row r="903" spans="1:12" x14ac:dyDescent="0.3">
      <c r="A903" s="5" t="s">
        <v>25</v>
      </c>
      <c r="B903" s="6">
        <v>0.82383296296296293</v>
      </c>
      <c r="C903">
        <v>4.79</v>
      </c>
      <c r="D903">
        <v>0.01</v>
      </c>
      <c r="E903">
        <v>7.8</v>
      </c>
      <c r="F903">
        <v>0</v>
      </c>
      <c r="G903">
        <v>0.05</v>
      </c>
      <c r="H903">
        <v>0.15</v>
      </c>
      <c r="I903">
        <v>0.1</v>
      </c>
      <c r="J903">
        <v>0.18</v>
      </c>
      <c r="K903">
        <v>59.996000000000002</v>
      </c>
      <c r="L903" s="5" t="s">
        <v>19</v>
      </c>
    </row>
    <row r="904" spans="1:12" x14ac:dyDescent="0.3">
      <c r="A904" s="5" t="s">
        <v>25</v>
      </c>
      <c r="B904" s="6">
        <v>0.82384453703703708</v>
      </c>
      <c r="C904">
        <v>4.42</v>
      </c>
      <c r="D904">
        <v>0.01</v>
      </c>
      <c r="E904">
        <v>7.4</v>
      </c>
      <c r="F904">
        <v>0</v>
      </c>
      <c r="G904">
        <v>0.05</v>
      </c>
      <c r="H904">
        <v>0.15</v>
      </c>
      <c r="I904">
        <v>0.1</v>
      </c>
      <c r="J904">
        <v>0.18</v>
      </c>
      <c r="K904">
        <v>59.997</v>
      </c>
      <c r="L904" s="5" t="s">
        <v>19</v>
      </c>
    </row>
    <row r="905" spans="1:12" x14ac:dyDescent="0.3">
      <c r="A905" s="5" t="s">
        <v>25</v>
      </c>
      <c r="B905" s="6">
        <v>0.82385611111111112</v>
      </c>
      <c r="C905">
        <v>4.7300000000000004</v>
      </c>
      <c r="D905">
        <v>0.01</v>
      </c>
      <c r="E905">
        <v>7.7</v>
      </c>
      <c r="F905">
        <v>0</v>
      </c>
      <c r="G905">
        <v>0.05</v>
      </c>
      <c r="H905">
        <v>0.15</v>
      </c>
      <c r="I905">
        <v>0.1</v>
      </c>
      <c r="J905">
        <v>0.18</v>
      </c>
      <c r="K905">
        <v>59.997999999999998</v>
      </c>
      <c r="L905" s="5" t="s">
        <v>19</v>
      </c>
    </row>
    <row r="906" spans="1:12" x14ac:dyDescent="0.3">
      <c r="A906" s="5" t="s">
        <v>25</v>
      </c>
      <c r="B906" s="6">
        <v>0.82386768518518516</v>
      </c>
      <c r="C906">
        <v>4.4800000000000004</v>
      </c>
      <c r="D906">
        <v>0.01</v>
      </c>
      <c r="E906">
        <v>7.4</v>
      </c>
      <c r="F906">
        <v>0</v>
      </c>
      <c r="G906">
        <v>0.05</v>
      </c>
      <c r="H906">
        <v>0.15</v>
      </c>
      <c r="I906">
        <v>0.1</v>
      </c>
      <c r="J906">
        <v>0.18</v>
      </c>
      <c r="K906">
        <v>59.999000000000002</v>
      </c>
      <c r="L906" s="5" t="s">
        <v>19</v>
      </c>
    </row>
    <row r="907" spans="1:12" x14ac:dyDescent="0.3">
      <c r="A907" s="5" t="s">
        <v>25</v>
      </c>
      <c r="B907" s="6">
        <v>0.82387925925925931</v>
      </c>
      <c r="C907">
        <v>4.59</v>
      </c>
      <c r="D907">
        <v>0.01</v>
      </c>
      <c r="E907">
        <v>7.4</v>
      </c>
      <c r="F907">
        <v>0</v>
      </c>
      <c r="G907">
        <v>0.05</v>
      </c>
      <c r="H907">
        <v>0.15</v>
      </c>
      <c r="I907">
        <v>0.1</v>
      </c>
      <c r="J907">
        <v>0.18</v>
      </c>
      <c r="K907">
        <v>60</v>
      </c>
      <c r="L907" s="5" t="s">
        <v>19</v>
      </c>
    </row>
    <row r="908" spans="1:12" x14ac:dyDescent="0.3">
      <c r="A908" s="5" t="s">
        <v>25</v>
      </c>
      <c r="B908" s="6">
        <v>0.82389083333333335</v>
      </c>
      <c r="C908">
        <v>4.91</v>
      </c>
      <c r="D908">
        <v>0.01</v>
      </c>
      <c r="E908">
        <v>8</v>
      </c>
      <c r="F908">
        <v>0</v>
      </c>
      <c r="G908">
        <v>0.05</v>
      </c>
      <c r="H908">
        <v>0.15</v>
      </c>
      <c r="I908">
        <v>0.1</v>
      </c>
      <c r="J908">
        <v>0.18</v>
      </c>
      <c r="K908">
        <v>60.000999999999998</v>
      </c>
      <c r="L908" s="5" t="s">
        <v>19</v>
      </c>
    </row>
    <row r="909" spans="1:12" x14ac:dyDescent="0.3">
      <c r="A909" s="5" t="s">
        <v>25</v>
      </c>
      <c r="B909" s="6">
        <v>0.82390240740740739</v>
      </c>
      <c r="C909">
        <v>4.51</v>
      </c>
      <c r="D909">
        <v>0.01</v>
      </c>
      <c r="E909">
        <v>7.5</v>
      </c>
      <c r="F909">
        <v>0</v>
      </c>
      <c r="G909">
        <v>0.05</v>
      </c>
      <c r="H909">
        <v>0.15</v>
      </c>
      <c r="I909">
        <v>0.1</v>
      </c>
      <c r="J909">
        <v>0.18</v>
      </c>
      <c r="K909">
        <v>60.000999999999998</v>
      </c>
      <c r="L909" s="5" t="s">
        <v>19</v>
      </c>
    </row>
    <row r="910" spans="1:12" x14ac:dyDescent="0.3">
      <c r="A910" s="5" t="s">
        <v>25</v>
      </c>
      <c r="B910" s="6">
        <v>0.82391398148148143</v>
      </c>
      <c r="C910">
        <v>4.74</v>
      </c>
      <c r="D910">
        <v>0.01</v>
      </c>
      <c r="E910">
        <v>7.7</v>
      </c>
      <c r="F910">
        <v>0</v>
      </c>
      <c r="G910">
        <v>0.05</v>
      </c>
      <c r="H910">
        <v>0.15</v>
      </c>
      <c r="I910">
        <v>0.1</v>
      </c>
      <c r="J910">
        <v>0.18</v>
      </c>
      <c r="K910">
        <v>60.002000000000002</v>
      </c>
      <c r="L910" s="5" t="s">
        <v>19</v>
      </c>
    </row>
    <row r="911" spans="1:12" x14ac:dyDescent="0.3">
      <c r="A911" s="5" t="s">
        <v>25</v>
      </c>
      <c r="B911" s="6">
        <v>0.82392555555555558</v>
      </c>
      <c r="C911">
        <v>4.33</v>
      </c>
      <c r="D911">
        <v>0.01</v>
      </c>
      <c r="E911">
        <v>7.1</v>
      </c>
      <c r="F911">
        <v>0</v>
      </c>
      <c r="G911">
        <v>0.05</v>
      </c>
      <c r="H911">
        <v>0.15</v>
      </c>
      <c r="I911">
        <v>0.1</v>
      </c>
      <c r="J911">
        <v>0.18</v>
      </c>
      <c r="K911">
        <v>60.003999999999998</v>
      </c>
      <c r="L911" s="5" t="s">
        <v>19</v>
      </c>
    </row>
    <row r="912" spans="1:12" x14ac:dyDescent="0.3">
      <c r="A912" s="5" t="s">
        <v>25</v>
      </c>
      <c r="B912" s="6">
        <v>0.82393712962962962</v>
      </c>
      <c r="C912">
        <v>4.7300000000000004</v>
      </c>
      <c r="D912">
        <v>0.01</v>
      </c>
      <c r="E912">
        <v>7.6</v>
      </c>
      <c r="F912">
        <v>0</v>
      </c>
      <c r="G912">
        <v>0.05</v>
      </c>
      <c r="H912">
        <v>0.15</v>
      </c>
      <c r="I912">
        <v>0.1</v>
      </c>
      <c r="J912">
        <v>0.18</v>
      </c>
      <c r="K912">
        <v>60.003999999999998</v>
      </c>
      <c r="L912" s="5" t="s">
        <v>19</v>
      </c>
    </row>
    <row r="913" spans="1:12" x14ac:dyDescent="0.3">
      <c r="A913" s="5" t="s">
        <v>25</v>
      </c>
      <c r="B913" s="6">
        <v>0.82394870370370366</v>
      </c>
      <c r="C913">
        <v>4.53</v>
      </c>
      <c r="D913">
        <v>0.01</v>
      </c>
      <c r="E913">
        <v>7.3</v>
      </c>
      <c r="F913">
        <v>0</v>
      </c>
      <c r="G913">
        <v>0.05</v>
      </c>
      <c r="H913">
        <v>0.15</v>
      </c>
      <c r="I913">
        <v>0.1</v>
      </c>
      <c r="J913">
        <v>0.18</v>
      </c>
      <c r="K913">
        <v>60.005000000000003</v>
      </c>
      <c r="L913" s="5" t="s">
        <v>19</v>
      </c>
    </row>
    <row r="914" spans="1:12" x14ac:dyDescent="0.3">
      <c r="A914" s="5" t="s">
        <v>25</v>
      </c>
      <c r="B914" s="6">
        <v>0.82396027777777781</v>
      </c>
      <c r="C914">
        <v>4.63</v>
      </c>
      <c r="D914">
        <v>0.01</v>
      </c>
      <c r="E914">
        <v>7.5</v>
      </c>
      <c r="F914">
        <v>0</v>
      </c>
      <c r="G914">
        <v>0.05</v>
      </c>
      <c r="H914">
        <v>0.15</v>
      </c>
      <c r="I914">
        <v>0.1</v>
      </c>
      <c r="J914">
        <v>0.18</v>
      </c>
      <c r="K914">
        <v>60.005000000000003</v>
      </c>
      <c r="L914" s="5" t="s">
        <v>19</v>
      </c>
    </row>
    <row r="915" spans="1:12" x14ac:dyDescent="0.3">
      <c r="A915" s="5" t="s">
        <v>25</v>
      </c>
      <c r="B915" s="6">
        <v>0.82397185185185184</v>
      </c>
      <c r="C915">
        <v>4.92</v>
      </c>
      <c r="D915">
        <v>0.01</v>
      </c>
      <c r="E915">
        <v>8</v>
      </c>
      <c r="F915">
        <v>0</v>
      </c>
      <c r="G915">
        <v>0.05</v>
      </c>
      <c r="H915">
        <v>0.15</v>
      </c>
      <c r="I915">
        <v>0.1</v>
      </c>
      <c r="J915">
        <v>0.18</v>
      </c>
      <c r="K915">
        <v>60.005000000000003</v>
      </c>
      <c r="L915" s="5" t="s">
        <v>19</v>
      </c>
    </row>
    <row r="916" spans="1:12" x14ac:dyDescent="0.3">
      <c r="A916" s="5" t="s">
        <v>25</v>
      </c>
      <c r="B916" s="6">
        <v>0.82398342592592588</v>
      </c>
      <c r="C916">
        <v>4.49</v>
      </c>
      <c r="D916">
        <v>0.01</v>
      </c>
      <c r="E916">
        <v>7.4</v>
      </c>
      <c r="F916">
        <v>0</v>
      </c>
      <c r="G916">
        <v>0.05</v>
      </c>
      <c r="H916">
        <v>0.15</v>
      </c>
      <c r="I916">
        <v>0.1</v>
      </c>
      <c r="J916">
        <v>0.18</v>
      </c>
      <c r="K916">
        <v>60.005000000000003</v>
      </c>
      <c r="L916" s="5" t="s">
        <v>19</v>
      </c>
    </row>
    <row r="917" spans="1:12" x14ac:dyDescent="0.3">
      <c r="A917" s="5" t="s">
        <v>25</v>
      </c>
      <c r="B917" s="6">
        <v>0.82399500000000003</v>
      </c>
      <c r="C917">
        <v>4.79</v>
      </c>
      <c r="D917">
        <v>0.01</v>
      </c>
      <c r="E917">
        <v>8</v>
      </c>
      <c r="F917">
        <v>0</v>
      </c>
      <c r="G917">
        <v>0.05</v>
      </c>
      <c r="H917">
        <v>0.15</v>
      </c>
      <c r="I917">
        <v>0.1</v>
      </c>
      <c r="J917">
        <v>0.18</v>
      </c>
      <c r="K917">
        <v>60.006</v>
      </c>
      <c r="L917" s="5" t="s">
        <v>19</v>
      </c>
    </row>
    <row r="918" spans="1:12" x14ac:dyDescent="0.3">
      <c r="A918" s="5" t="s">
        <v>25</v>
      </c>
      <c r="B918" s="6">
        <v>0.82400657407407407</v>
      </c>
      <c r="C918">
        <v>4.45</v>
      </c>
      <c r="D918">
        <v>0.01</v>
      </c>
      <c r="E918">
        <v>7.3</v>
      </c>
      <c r="F918">
        <v>0</v>
      </c>
      <c r="G918">
        <v>0.05</v>
      </c>
      <c r="H918">
        <v>0.15</v>
      </c>
      <c r="I918">
        <v>0.1</v>
      </c>
      <c r="J918">
        <v>0.18</v>
      </c>
      <c r="K918">
        <v>60.006</v>
      </c>
      <c r="L918" s="5" t="s">
        <v>19</v>
      </c>
    </row>
    <row r="919" spans="1:12" x14ac:dyDescent="0.3">
      <c r="A919" s="5" t="s">
        <v>25</v>
      </c>
      <c r="B919" s="6">
        <v>0.82401814814814811</v>
      </c>
      <c r="C919">
        <v>4.75</v>
      </c>
      <c r="D919">
        <v>0.01</v>
      </c>
      <c r="E919">
        <v>7.9</v>
      </c>
      <c r="F919">
        <v>0</v>
      </c>
      <c r="G919">
        <v>0.05</v>
      </c>
      <c r="H919">
        <v>0.15</v>
      </c>
      <c r="I919">
        <v>0.1</v>
      </c>
      <c r="J919">
        <v>0.18</v>
      </c>
      <c r="K919">
        <v>60.006</v>
      </c>
      <c r="L919" s="5" t="s">
        <v>19</v>
      </c>
    </row>
    <row r="920" spans="1:12" x14ac:dyDescent="0.3">
      <c r="A920" s="5" t="s">
        <v>25</v>
      </c>
      <c r="B920" s="6">
        <v>0.82402972222222226</v>
      </c>
      <c r="C920">
        <v>4.59</v>
      </c>
      <c r="D920">
        <v>0.01</v>
      </c>
      <c r="E920">
        <v>7.6</v>
      </c>
      <c r="F920">
        <v>0</v>
      </c>
      <c r="G920">
        <v>0.05</v>
      </c>
      <c r="H920">
        <v>0.15</v>
      </c>
      <c r="I920">
        <v>0.1</v>
      </c>
      <c r="J920">
        <v>0.18</v>
      </c>
      <c r="K920">
        <v>60.005000000000003</v>
      </c>
      <c r="L920" s="5" t="s">
        <v>19</v>
      </c>
    </row>
    <row r="921" spans="1:12" x14ac:dyDescent="0.3">
      <c r="A921" s="5" t="s">
        <v>25</v>
      </c>
      <c r="B921" s="6">
        <v>0.8240412962962963</v>
      </c>
      <c r="C921">
        <v>4.53</v>
      </c>
      <c r="D921">
        <v>0.01</v>
      </c>
      <c r="E921">
        <v>7.4</v>
      </c>
      <c r="F921">
        <v>0</v>
      </c>
      <c r="G921">
        <v>0.05</v>
      </c>
      <c r="H921">
        <v>0.15</v>
      </c>
      <c r="I921">
        <v>0.1</v>
      </c>
      <c r="J921">
        <v>0.18</v>
      </c>
      <c r="K921">
        <v>60.006</v>
      </c>
      <c r="L921" s="5" t="s">
        <v>19</v>
      </c>
    </row>
    <row r="922" spans="1:12" x14ac:dyDescent="0.3">
      <c r="A922" s="5" t="s">
        <v>25</v>
      </c>
      <c r="B922" s="6">
        <v>0.82405287037037034</v>
      </c>
      <c r="C922">
        <v>4.9000000000000004</v>
      </c>
      <c r="D922">
        <v>0.01</v>
      </c>
      <c r="E922">
        <v>8</v>
      </c>
      <c r="F922">
        <v>0</v>
      </c>
      <c r="G922">
        <v>0.05</v>
      </c>
      <c r="H922">
        <v>0.15</v>
      </c>
      <c r="I922">
        <v>0.1</v>
      </c>
      <c r="J922">
        <v>0.18</v>
      </c>
      <c r="K922">
        <v>60.005000000000003</v>
      </c>
      <c r="L922" s="5" t="s">
        <v>19</v>
      </c>
    </row>
    <row r="923" spans="1:12" x14ac:dyDescent="0.3">
      <c r="A923" s="5" t="s">
        <v>25</v>
      </c>
      <c r="B923" s="6">
        <v>0.82406444444444449</v>
      </c>
      <c r="C923">
        <v>4.5</v>
      </c>
      <c r="D923">
        <v>0.01</v>
      </c>
      <c r="E923">
        <v>7.4</v>
      </c>
      <c r="F923">
        <v>0</v>
      </c>
      <c r="G923">
        <v>0.05</v>
      </c>
      <c r="H923">
        <v>0.15</v>
      </c>
      <c r="I923">
        <v>0.1</v>
      </c>
      <c r="J923">
        <v>0.18</v>
      </c>
      <c r="K923">
        <v>60.006</v>
      </c>
      <c r="L923" s="5" t="s">
        <v>19</v>
      </c>
    </row>
    <row r="924" spans="1:12" x14ac:dyDescent="0.3">
      <c r="A924" s="5" t="s">
        <v>25</v>
      </c>
      <c r="B924" s="6">
        <v>0.82407601851851853</v>
      </c>
      <c r="C924">
        <v>4.82</v>
      </c>
      <c r="D924">
        <v>0.01</v>
      </c>
      <c r="E924">
        <v>7.9</v>
      </c>
      <c r="F924">
        <v>0</v>
      </c>
      <c r="G924">
        <v>0.05</v>
      </c>
      <c r="H924">
        <v>0.15</v>
      </c>
      <c r="I924">
        <v>0.1</v>
      </c>
      <c r="J924">
        <v>0.18</v>
      </c>
      <c r="K924">
        <v>60.005000000000003</v>
      </c>
      <c r="L924" s="5" t="s">
        <v>19</v>
      </c>
    </row>
    <row r="925" spans="1:12" x14ac:dyDescent="0.3">
      <c r="A925" s="5" t="s">
        <v>25</v>
      </c>
      <c r="B925" s="6">
        <v>0.82408759259259257</v>
      </c>
      <c r="C925">
        <v>4.4400000000000004</v>
      </c>
      <c r="D925">
        <v>0.01</v>
      </c>
      <c r="E925">
        <v>7.3</v>
      </c>
      <c r="F925">
        <v>0</v>
      </c>
      <c r="G925">
        <v>0.05</v>
      </c>
      <c r="H925">
        <v>0.15</v>
      </c>
      <c r="I925">
        <v>0.1</v>
      </c>
      <c r="J925">
        <v>0.18</v>
      </c>
      <c r="K925">
        <v>60.006</v>
      </c>
      <c r="L925" s="5" t="s">
        <v>19</v>
      </c>
    </row>
    <row r="926" spans="1:12" x14ac:dyDescent="0.3">
      <c r="A926" s="5" t="s">
        <v>25</v>
      </c>
      <c r="B926" s="6">
        <v>0.82409916666666672</v>
      </c>
      <c r="C926">
        <v>4.6399999999999997</v>
      </c>
      <c r="D926">
        <v>0.01</v>
      </c>
      <c r="E926">
        <v>7.5</v>
      </c>
      <c r="F926">
        <v>0</v>
      </c>
      <c r="G926">
        <v>0.05</v>
      </c>
      <c r="H926">
        <v>0.15</v>
      </c>
      <c r="I926">
        <v>0.1</v>
      </c>
      <c r="J926">
        <v>0.18</v>
      </c>
      <c r="K926">
        <v>60.006</v>
      </c>
      <c r="L926" s="5" t="s">
        <v>19</v>
      </c>
    </row>
    <row r="927" spans="1:12" x14ac:dyDescent="0.3">
      <c r="A927" s="5" t="s">
        <v>25</v>
      </c>
      <c r="B927" s="6">
        <v>0.82411074074074075</v>
      </c>
      <c r="C927">
        <v>4.62</v>
      </c>
      <c r="D927">
        <v>0.01</v>
      </c>
      <c r="E927">
        <v>7.7</v>
      </c>
      <c r="F927">
        <v>0</v>
      </c>
      <c r="G927">
        <v>0.05</v>
      </c>
      <c r="H927">
        <v>0.15</v>
      </c>
      <c r="I927">
        <v>0.1</v>
      </c>
      <c r="J927">
        <v>0.18</v>
      </c>
      <c r="K927">
        <v>60.006</v>
      </c>
      <c r="L927" s="5" t="s">
        <v>19</v>
      </c>
    </row>
    <row r="928" spans="1:12" x14ac:dyDescent="0.3">
      <c r="A928" s="5" t="s">
        <v>25</v>
      </c>
      <c r="B928" s="6">
        <v>0.82412231481481479</v>
      </c>
      <c r="C928">
        <v>4.53</v>
      </c>
      <c r="D928">
        <v>0.01</v>
      </c>
      <c r="E928">
        <v>7.4</v>
      </c>
      <c r="F928">
        <v>0</v>
      </c>
      <c r="G928">
        <v>0.05</v>
      </c>
      <c r="H928">
        <v>0.15</v>
      </c>
      <c r="I928">
        <v>0.1</v>
      </c>
      <c r="J928">
        <v>0.18</v>
      </c>
      <c r="K928">
        <v>60.006</v>
      </c>
      <c r="L928" s="5" t="s">
        <v>19</v>
      </c>
    </row>
    <row r="929" spans="1:12" x14ac:dyDescent="0.3">
      <c r="A929" s="5" t="s">
        <v>25</v>
      </c>
      <c r="B929" s="6">
        <v>0.82413388888888894</v>
      </c>
      <c r="C929">
        <v>4.95</v>
      </c>
      <c r="D929">
        <v>0.01</v>
      </c>
      <c r="E929">
        <v>8.1</v>
      </c>
      <c r="F929">
        <v>0</v>
      </c>
      <c r="G929">
        <v>0.05</v>
      </c>
      <c r="H929">
        <v>0.15</v>
      </c>
      <c r="I929">
        <v>0.1</v>
      </c>
      <c r="J929">
        <v>0.18</v>
      </c>
      <c r="K929">
        <v>60.006</v>
      </c>
      <c r="L929" s="5" t="s">
        <v>19</v>
      </c>
    </row>
    <row r="930" spans="1:12" x14ac:dyDescent="0.3">
      <c r="A930" s="5" t="s">
        <v>25</v>
      </c>
      <c r="B930" s="6">
        <v>0.82414546296296298</v>
      </c>
      <c r="C930">
        <v>4.41</v>
      </c>
      <c r="D930">
        <v>0.01</v>
      </c>
      <c r="E930">
        <v>7.3</v>
      </c>
      <c r="F930">
        <v>0</v>
      </c>
      <c r="G930">
        <v>0.05</v>
      </c>
      <c r="H930">
        <v>0.15</v>
      </c>
      <c r="I930">
        <v>0.1</v>
      </c>
      <c r="J930">
        <v>0.18</v>
      </c>
      <c r="K930">
        <v>60.008000000000003</v>
      </c>
      <c r="L930" s="5" t="s">
        <v>19</v>
      </c>
    </row>
    <row r="931" spans="1:12" x14ac:dyDescent="0.3">
      <c r="A931" s="5" t="s">
        <v>25</v>
      </c>
      <c r="B931" s="6">
        <v>0.82415703703703702</v>
      </c>
      <c r="C931">
        <v>4.68</v>
      </c>
      <c r="D931">
        <v>0.01</v>
      </c>
      <c r="E931">
        <v>7.5</v>
      </c>
      <c r="F931">
        <v>0</v>
      </c>
      <c r="G931">
        <v>0.05</v>
      </c>
      <c r="H931">
        <v>0.15</v>
      </c>
      <c r="I931">
        <v>0.1</v>
      </c>
      <c r="J931">
        <v>0.18</v>
      </c>
      <c r="K931">
        <v>60.006999999999998</v>
      </c>
      <c r="L931" s="5" t="s">
        <v>19</v>
      </c>
    </row>
    <row r="932" spans="1:12" x14ac:dyDescent="0.3">
      <c r="A932" s="5" t="s">
        <v>25</v>
      </c>
      <c r="B932" s="6">
        <v>0.82416861111111106</v>
      </c>
      <c r="C932">
        <v>4.4400000000000004</v>
      </c>
      <c r="D932">
        <v>0.01</v>
      </c>
      <c r="E932">
        <v>7.4</v>
      </c>
      <c r="F932">
        <v>0</v>
      </c>
      <c r="G932">
        <v>0.05</v>
      </c>
      <c r="H932">
        <v>0.15</v>
      </c>
      <c r="I932">
        <v>0.1</v>
      </c>
      <c r="J932">
        <v>0.18</v>
      </c>
      <c r="K932">
        <v>60.009</v>
      </c>
      <c r="L932" s="5" t="s">
        <v>19</v>
      </c>
    </row>
    <row r="933" spans="1:12" x14ac:dyDescent="0.3">
      <c r="A933" s="5" t="s">
        <v>25</v>
      </c>
      <c r="B933" s="6">
        <v>0.82418018518518521</v>
      </c>
      <c r="C933">
        <v>4.49</v>
      </c>
      <c r="D933">
        <v>0.01</v>
      </c>
      <c r="E933">
        <v>7.2</v>
      </c>
      <c r="F933">
        <v>0</v>
      </c>
      <c r="G933">
        <v>0.05</v>
      </c>
      <c r="H933">
        <v>0.15</v>
      </c>
      <c r="I933">
        <v>0.1</v>
      </c>
      <c r="J933">
        <v>0.18</v>
      </c>
      <c r="K933">
        <v>60.006999999999998</v>
      </c>
      <c r="L933" s="5" t="s">
        <v>19</v>
      </c>
    </row>
    <row r="934" spans="1:12" x14ac:dyDescent="0.3">
      <c r="A934" s="5" t="s">
        <v>25</v>
      </c>
      <c r="B934" s="6">
        <v>0.82419175925925925</v>
      </c>
      <c r="C934">
        <v>4.68</v>
      </c>
      <c r="D934">
        <v>0.01</v>
      </c>
      <c r="E934">
        <v>7.4</v>
      </c>
      <c r="F934">
        <v>0</v>
      </c>
      <c r="G934">
        <v>0.05</v>
      </c>
      <c r="H934">
        <v>0.15</v>
      </c>
      <c r="I934">
        <v>0.1</v>
      </c>
      <c r="J934">
        <v>0.18</v>
      </c>
      <c r="K934">
        <v>60.008000000000003</v>
      </c>
      <c r="L934" s="5" t="s">
        <v>19</v>
      </c>
    </row>
    <row r="935" spans="1:12" x14ac:dyDescent="0.3">
      <c r="A935" s="5" t="s">
        <v>25</v>
      </c>
      <c r="B935" s="6">
        <v>0.82420333333333329</v>
      </c>
      <c r="C935">
        <v>4.3600000000000003</v>
      </c>
      <c r="D935">
        <v>0.01</v>
      </c>
      <c r="E935">
        <v>7</v>
      </c>
      <c r="F935">
        <v>0</v>
      </c>
      <c r="G935">
        <v>0.05</v>
      </c>
      <c r="H935">
        <v>0.15</v>
      </c>
      <c r="I935">
        <v>0.1</v>
      </c>
      <c r="J935">
        <v>0.18</v>
      </c>
      <c r="K935">
        <v>60.009</v>
      </c>
      <c r="L935" s="5" t="s">
        <v>19</v>
      </c>
    </row>
    <row r="936" spans="1:12" x14ac:dyDescent="0.3">
      <c r="A936" s="5" t="s">
        <v>25</v>
      </c>
      <c r="B936" s="6">
        <v>0.82421490740740744</v>
      </c>
      <c r="C936">
        <v>4.72</v>
      </c>
      <c r="D936">
        <v>0.01</v>
      </c>
      <c r="E936">
        <v>7.5</v>
      </c>
      <c r="F936">
        <v>0</v>
      </c>
      <c r="G936">
        <v>0.05</v>
      </c>
      <c r="H936">
        <v>0.15</v>
      </c>
      <c r="I936">
        <v>0.1</v>
      </c>
      <c r="J936">
        <v>0.18</v>
      </c>
      <c r="K936">
        <v>60.009</v>
      </c>
      <c r="L936" s="5" t="s">
        <v>19</v>
      </c>
    </row>
    <row r="937" spans="1:12" x14ac:dyDescent="0.3">
      <c r="A937" s="5" t="s">
        <v>25</v>
      </c>
      <c r="B937" s="6">
        <v>0.82422648148148148</v>
      </c>
      <c r="C937">
        <v>4.29</v>
      </c>
      <c r="D937">
        <v>0.01</v>
      </c>
      <c r="E937">
        <v>6.9</v>
      </c>
      <c r="F937">
        <v>0</v>
      </c>
      <c r="G937">
        <v>0.05</v>
      </c>
      <c r="H937">
        <v>0.15</v>
      </c>
      <c r="I937">
        <v>0.1</v>
      </c>
      <c r="J937">
        <v>0.18</v>
      </c>
      <c r="K937">
        <v>60.01</v>
      </c>
      <c r="L937" s="5" t="s">
        <v>19</v>
      </c>
    </row>
    <row r="938" spans="1:12" x14ac:dyDescent="0.3">
      <c r="A938" s="5" t="s">
        <v>25</v>
      </c>
      <c r="B938" s="6">
        <v>0.82423805555555552</v>
      </c>
      <c r="C938">
        <v>4.3600000000000003</v>
      </c>
      <c r="D938">
        <v>0.01</v>
      </c>
      <c r="E938">
        <v>6.9</v>
      </c>
      <c r="F938">
        <v>0</v>
      </c>
      <c r="G938">
        <v>0.05</v>
      </c>
      <c r="H938">
        <v>0.15</v>
      </c>
      <c r="I938">
        <v>0.1</v>
      </c>
      <c r="J938">
        <v>0.18</v>
      </c>
      <c r="K938">
        <v>60.008000000000003</v>
      </c>
      <c r="L938" s="5" t="s">
        <v>19</v>
      </c>
    </row>
    <row r="939" spans="1:12" x14ac:dyDescent="0.3">
      <c r="A939" s="5" t="s">
        <v>25</v>
      </c>
      <c r="B939" s="6">
        <v>0.82424962962962967</v>
      </c>
      <c r="C939">
        <v>4.41</v>
      </c>
      <c r="D939">
        <v>0.01</v>
      </c>
      <c r="E939">
        <v>6.8</v>
      </c>
      <c r="F939">
        <v>0</v>
      </c>
      <c r="G939">
        <v>0.05</v>
      </c>
      <c r="H939">
        <v>0.15</v>
      </c>
      <c r="I939">
        <v>0.1</v>
      </c>
      <c r="J939">
        <v>0.18</v>
      </c>
      <c r="K939">
        <v>60.01</v>
      </c>
      <c r="L939" s="5" t="s">
        <v>19</v>
      </c>
    </row>
    <row r="940" spans="1:12" x14ac:dyDescent="0.3">
      <c r="A940" s="5" t="s">
        <v>25</v>
      </c>
      <c r="B940" s="6">
        <v>0.8242612037037037</v>
      </c>
      <c r="C940">
        <v>4.24</v>
      </c>
      <c r="D940">
        <v>0.01</v>
      </c>
      <c r="E940">
        <v>6.7</v>
      </c>
      <c r="F940">
        <v>0</v>
      </c>
      <c r="G940">
        <v>0.05</v>
      </c>
      <c r="H940">
        <v>0.15</v>
      </c>
      <c r="I940">
        <v>0.1</v>
      </c>
      <c r="J940">
        <v>0.18</v>
      </c>
      <c r="K940">
        <v>60.01</v>
      </c>
      <c r="L940" s="5" t="s">
        <v>19</v>
      </c>
    </row>
    <row r="941" spans="1:12" x14ac:dyDescent="0.3">
      <c r="A941" s="5" t="s">
        <v>25</v>
      </c>
      <c r="B941" s="6">
        <v>0.82427277777777774</v>
      </c>
      <c r="C941">
        <v>4.53</v>
      </c>
      <c r="D941">
        <v>0.01</v>
      </c>
      <c r="E941">
        <v>7.1</v>
      </c>
      <c r="F941">
        <v>0</v>
      </c>
      <c r="G941">
        <v>0.05</v>
      </c>
      <c r="H941">
        <v>0.15</v>
      </c>
      <c r="I941">
        <v>0.1</v>
      </c>
      <c r="J941">
        <v>0.18</v>
      </c>
      <c r="K941">
        <v>60.009</v>
      </c>
      <c r="L941" s="5" t="s">
        <v>19</v>
      </c>
    </row>
    <row r="942" spans="1:12" x14ac:dyDescent="0.3">
      <c r="A942" s="5" t="s">
        <v>25</v>
      </c>
      <c r="B942" s="6">
        <v>0.82428435185185189</v>
      </c>
      <c r="C942">
        <v>4.21</v>
      </c>
      <c r="D942">
        <v>0.01</v>
      </c>
      <c r="E942">
        <v>6.6</v>
      </c>
      <c r="F942">
        <v>0</v>
      </c>
      <c r="G942">
        <v>0.05</v>
      </c>
      <c r="H942">
        <v>0.15</v>
      </c>
      <c r="I942">
        <v>0.1</v>
      </c>
      <c r="J942">
        <v>0.18</v>
      </c>
      <c r="K942">
        <v>60.011000000000003</v>
      </c>
      <c r="L942" s="5" t="s">
        <v>19</v>
      </c>
    </row>
    <row r="943" spans="1:12" x14ac:dyDescent="0.3">
      <c r="A943" s="5" t="s">
        <v>25</v>
      </c>
      <c r="B943" s="6">
        <v>0.82429592592592593</v>
      </c>
      <c r="C943">
        <v>4.4800000000000004</v>
      </c>
      <c r="D943">
        <v>0.01</v>
      </c>
      <c r="E943">
        <v>7</v>
      </c>
      <c r="F943">
        <v>0</v>
      </c>
      <c r="G943">
        <v>0.05</v>
      </c>
      <c r="H943">
        <v>0.15</v>
      </c>
      <c r="I943">
        <v>0.1</v>
      </c>
      <c r="J943">
        <v>0.18</v>
      </c>
      <c r="K943">
        <v>60.01</v>
      </c>
      <c r="L943" s="5" t="s">
        <v>19</v>
      </c>
    </row>
    <row r="944" spans="1:12" hidden="1" x14ac:dyDescent="0.3">
      <c r="A944" s="5" t="s">
        <v>25</v>
      </c>
      <c r="B944" s="6">
        <v>0.82430749999999997</v>
      </c>
      <c r="C944">
        <v>4.33</v>
      </c>
      <c r="D944">
        <v>0.01</v>
      </c>
      <c r="E944">
        <v>6.7</v>
      </c>
      <c r="F944">
        <v>0</v>
      </c>
      <c r="G944">
        <v>0.05</v>
      </c>
      <c r="H944">
        <v>0.15</v>
      </c>
      <c r="I944">
        <v>0.1</v>
      </c>
      <c r="J944">
        <v>0.18</v>
      </c>
      <c r="K944">
        <v>60.012</v>
      </c>
      <c r="L944" s="5" t="s">
        <v>19</v>
      </c>
    </row>
    <row r="945" spans="1:12" hidden="1" x14ac:dyDescent="0.3">
      <c r="A945" s="5" t="s">
        <v>25</v>
      </c>
      <c r="B945" s="6">
        <v>0.82431907407407412</v>
      </c>
      <c r="C945">
        <v>4.38</v>
      </c>
      <c r="D945">
        <v>0.01</v>
      </c>
      <c r="E945">
        <v>6.9</v>
      </c>
      <c r="F945">
        <v>0</v>
      </c>
      <c r="G945">
        <v>0.05</v>
      </c>
      <c r="H945">
        <v>0.15</v>
      </c>
      <c r="I945">
        <v>0.1</v>
      </c>
      <c r="J945">
        <v>0.18</v>
      </c>
      <c r="K945">
        <v>60.01</v>
      </c>
      <c r="L945" s="5" t="s">
        <v>19</v>
      </c>
    </row>
    <row r="946" spans="1:12" hidden="1" x14ac:dyDescent="0.3">
      <c r="A946" s="5" t="s">
        <v>25</v>
      </c>
      <c r="B946" s="6">
        <v>0.82433064814814816</v>
      </c>
      <c r="C946">
        <v>4.53</v>
      </c>
      <c r="D946">
        <v>0.01</v>
      </c>
      <c r="E946">
        <v>7</v>
      </c>
      <c r="F946">
        <v>0</v>
      </c>
      <c r="G946">
        <v>0.05</v>
      </c>
      <c r="H946">
        <v>0.15</v>
      </c>
      <c r="I946">
        <v>0.1</v>
      </c>
      <c r="J946">
        <v>0.18</v>
      </c>
      <c r="K946">
        <v>60.011000000000003</v>
      </c>
      <c r="L946" s="5" t="s">
        <v>19</v>
      </c>
    </row>
    <row r="947" spans="1:12" hidden="1" x14ac:dyDescent="0.3">
      <c r="A947" s="5" t="s">
        <v>25</v>
      </c>
      <c r="B947" s="6">
        <v>0.8243422222222222</v>
      </c>
      <c r="C947">
        <v>4.24</v>
      </c>
      <c r="D947">
        <v>0.01</v>
      </c>
      <c r="E947">
        <v>6.7</v>
      </c>
      <c r="F947">
        <v>0</v>
      </c>
      <c r="G947">
        <v>0.05</v>
      </c>
      <c r="H947">
        <v>0.15</v>
      </c>
      <c r="I947">
        <v>0.1</v>
      </c>
      <c r="J947">
        <v>0.18</v>
      </c>
      <c r="K947">
        <v>60.011000000000003</v>
      </c>
      <c r="L947" s="5" t="s">
        <v>19</v>
      </c>
    </row>
    <row r="948" spans="1:12" hidden="1" x14ac:dyDescent="0.3">
      <c r="A948" s="5" t="s">
        <v>25</v>
      </c>
      <c r="B948" s="6">
        <v>0.82435379629629635</v>
      </c>
      <c r="C948">
        <v>4.3499999999999996</v>
      </c>
      <c r="D948">
        <v>0.01</v>
      </c>
      <c r="E948">
        <v>6.5</v>
      </c>
      <c r="F948">
        <v>0</v>
      </c>
      <c r="G948">
        <v>0.05</v>
      </c>
      <c r="H948">
        <v>0.15</v>
      </c>
      <c r="I948">
        <v>0.1</v>
      </c>
      <c r="J948">
        <v>0.18</v>
      </c>
      <c r="K948">
        <v>60.011000000000003</v>
      </c>
      <c r="L948" s="5" t="s">
        <v>19</v>
      </c>
    </row>
    <row r="949" spans="1:12" hidden="1" x14ac:dyDescent="0.3">
      <c r="A949" s="5" t="s">
        <v>25</v>
      </c>
      <c r="B949" s="6">
        <v>0.82436537037037039</v>
      </c>
      <c r="C949">
        <v>0.95</v>
      </c>
      <c r="D949">
        <v>0.01</v>
      </c>
      <c r="E949">
        <v>1.4</v>
      </c>
      <c r="F949">
        <v>0</v>
      </c>
      <c r="G949">
        <v>0.05</v>
      </c>
      <c r="H949">
        <v>0.15</v>
      </c>
      <c r="I949">
        <v>0.1</v>
      </c>
      <c r="J949">
        <v>0.18</v>
      </c>
      <c r="K949">
        <v>60.008000000000003</v>
      </c>
      <c r="L949" s="5" t="s">
        <v>19</v>
      </c>
    </row>
    <row r="950" spans="1:12" hidden="1" x14ac:dyDescent="0.3">
      <c r="A950" s="5" t="s">
        <v>25</v>
      </c>
      <c r="B950" s="6">
        <v>0.82437694444444443</v>
      </c>
      <c r="C950">
        <v>0.51</v>
      </c>
      <c r="D950">
        <v>0.01</v>
      </c>
      <c r="E950">
        <v>0.7</v>
      </c>
      <c r="F950">
        <v>0</v>
      </c>
      <c r="G950">
        <v>0.05</v>
      </c>
      <c r="H950">
        <v>0.15</v>
      </c>
      <c r="I950">
        <v>0.1</v>
      </c>
      <c r="J950">
        <v>0.18</v>
      </c>
      <c r="K950">
        <v>60.008000000000003</v>
      </c>
      <c r="L950" s="5" t="s">
        <v>19</v>
      </c>
    </row>
    <row r="951" spans="1:12" hidden="1" x14ac:dyDescent="0.3">
      <c r="A951" s="5" t="s">
        <v>25</v>
      </c>
      <c r="B951" s="6">
        <v>0.82438851851851846</v>
      </c>
      <c r="C951">
        <v>0.51</v>
      </c>
      <c r="D951">
        <v>0.01</v>
      </c>
      <c r="E951">
        <v>0.7</v>
      </c>
      <c r="F951">
        <v>0</v>
      </c>
      <c r="G951">
        <v>0.05</v>
      </c>
      <c r="H951">
        <v>0.15</v>
      </c>
      <c r="I951">
        <v>0.1</v>
      </c>
      <c r="J951">
        <v>0.18</v>
      </c>
      <c r="K951">
        <v>60.008000000000003</v>
      </c>
      <c r="L951" s="5" t="s">
        <v>19</v>
      </c>
    </row>
    <row r="952" spans="1:12" hidden="1" x14ac:dyDescent="0.3">
      <c r="A952" s="5" t="s">
        <v>25</v>
      </c>
      <c r="B952" s="6">
        <v>0.82440009259259261</v>
      </c>
      <c r="C952">
        <v>0.51</v>
      </c>
      <c r="D952">
        <v>0.01</v>
      </c>
      <c r="E952">
        <v>0.8</v>
      </c>
      <c r="F952">
        <v>0</v>
      </c>
      <c r="G952">
        <v>0.05</v>
      </c>
      <c r="H952">
        <v>0.15</v>
      </c>
      <c r="I952">
        <v>0.1</v>
      </c>
      <c r="J952">
        <v>0.18</v>
      </c>
      <c r="K952">
        <v>60.008000000000003</v>
      </c>
      <c r="L952" s="5" t="s">
        <v>19</v>
      </c>
    </row>
    <row r="953" spans="1:12" hidden="1" x14ac:dyDescent="0.3">
      <c r="A953" s="5" t="s">
        <v>25</v>
      </c>
      <c r="B953" s="6">
        <v>0.82441166666666665</v>
      </c>
      <c r="C953">
        <v>0.51</v>
      </c>
      <c r="D953">
        <v>0.01</v>
      </c>
      <c r="E953">
        <v>0.7</v>
      </c>
      <c r="F953">
        <v>0</v>
      </c>
      <c r="G953">
        <v>0.05</v>
      </c>
      <c r="H953">
        <v>0.15</v>
      </c>
      <c r="I953">
        <v>0.1</v>
      </c>
      <c r="J953">
        <v>0.18</v>
      </c>
      <c r="K953">
        <v>60.008000000000003</v>
      </c>
      <c r="L953" s="5" t="s">
        <v>19</v>
      </c>
    </row>
    <row r="954" spans="1:12" hidden="1" x14ac:dyDescent="0.3">
      <c r="A954" s="5" t="s">
        <v>25</v>
      </c>
      <c r="B954" s="6">
        <v>0.82442324074074069</v>
      </c>
      <c r="C954">
        <v>0.51</v>
      </c>
      <c r="D954">
        <v>0.01</v>
      </c>
      <c r="E954">
        <v>0.7</v>
      </c>
      <c r="F954">
        <v>0</v>
      </c>
      <c r="G954">
        <v>0.05</v>
      </c>
      <c r="H954">
        <v>0.15</v>
      </c>
      <c r="I954">
        <v>0.1</v>
      </c>
      <c r="J954">
        <v>0.18</v>
      </c>
      <c r="K954">
        <v>60.008000000000003</v>
      </c>
      <c r="L954" s="5" t="s">
        <v>19</v>
      </c>
    </row>
    <row r="955" spans="1:12" hidden="1" x14ac:dyDescent="0.3">
      <c r="A955" s="5" t="s">
        <v>25</v>
      </c>
      <c r="B955" s="6">
        <v>0.82443481481481484</v>
      </c>
      <c r="C955">
        <v>0.51</v>
      </c>
      <c r="D955">
        <v>0.01</v>
      </c>
      <c r="E955">
        <v>0.7</v>
      </c>
      <c r="F955">
        <v>0</v>
      </c>
      <c r="G955">
        <v>0.05</v>
      </c>
      <c r="H955">
        <v>0.15</v>
      </c>
      <c r="I955">
        <v>0.1</v>
      </c>
      <c r="J955">
        <v>0.18</v>
      </c>
      <c r="K955">
        <v>60.008000000000003</v>
      </c>
      <c r="L955" s="5" t="s">
        <v>19</v>
      </c>
    </row>
    <row r="956" spans="1:12" hidden="1" x14ac:dyDescent="0.3">
      <c r="A956" s="5" t="s">
        <v>25</v>
      </c>
      <c r="B956" s="6">
        <v>0.82444638888888888</v>
      </c>
      <c r="C956">
        <v>0.51</v>
      </c>
      <c r="D956">
        <v>0.01</v>
      </c>
      <c r="E956">
        <v>0.8</v>
      </c>
      <c r="F956">
        <v>0</v>
      </c>
      <c r="G956">
        <v>0.05</v>
      </c>
      <c r="H956">
        <v>0.15</v>
      </c>
      <c r="I956">
        <v>0.1</v>
      </c>
      <c r="J956">
        <v>0.18</v>
      </c>
      <c r="K956">
        <v>60.008000000000003</v>
      </c>
      <c r="L956" s="5" t="s">
        <v>19</v>
      </c>
    </row>
    <row r="957" spans="1:12" hidden="1" x14ac:dyDescent="0.3">
      <c r="A957" s="5" t="s">
        <v>25</v>
      </c>
      <c r="B957" s="6">
        <v>0.82445796296296292</v>
      </c>
      <c r="C957">
        <v>0.51</v>
      </c>
      <c r="D957">
        <v>0.01</v>
      </c>
      <c r="E957">
        <v>0.8</v>
      </c>
      <c r="F957">
        <v>0</v>
      </c>
      <c r="G957">
        <v>0.05</v>
      </c>
      <c r="H957">
        <v>0.15</v>
      </c>
      <c r="I957">
        <v>0.1</v>
      </c>
      <c r="J957">
        <v>0.18</v>
      </c>
      <c r="K957">
        <v>60.008000000000003</v>
      </c>
      <c r="L957" s="5" t="s">
        <v>19</v>
      </c>
    </row>
    <row r="958" spans="1:12" hidden="1" x14ac:dyDescent="0.3">
      <c r="A958" s="5" t="s">
        <v>25</v>
      </c>
      <c r="B958" s="6">
        <v>0.82446953703703707</v>
      </c>
      <c r="C958">
        <v>0.51</v>
      </c>
      <c r="D958">
        <v>0.01</v>
      </c>
      <c r="E958">
        <v>0.8</v>
      </c>
      <c r="F958">
        <v>0</v>
      </c>
      <c r="G958">
        <v>0.05</v>
      </c>
      <c r="H958">
        <v>0.15</v>
      </c>
      <c r="I958">
        <v>0.1</v>
      </c>
      <c r="J958">
        <v>0.18</v>
      </c>
      <c r="K958">
        <v>60.008000000000003</v>
      </c>
      <c r="L958" s="5" t="s">
        <v>19</v>
      </c>
    </row>
    <row r="959" spans="1:12" hidden="1" x14ac:dyDescent="0.3">
      <c r="A959" s="5" t="s">
        <v>25</v>
      </c>
      <c r="B959" s="6">
        <v>0.82448111111111111</v>
      </c>
      <c r="C959">
        <v>0.51</v>
      </c>
      <c r="D959">
        <v>0.01</v>
      </c>
      <c r="E959">
        <v>0.8</v>
      </c>
      <c r="F959">
        <v>0</v>
      </c>
      <c r="G959">
        <v>0.05</v>
      </c>
      <c r="H959">
        <v>0.15</v>
      </c>
      <c r="I959">
        <v>0.1</v>
      </c>
      <c r="J959">
        <v>0.18</v>
      </c>
      <c r="K959">
        <v>60.008000000000003</v>
      </c>
      <c r="L959" s="5" t="s">
        <v>19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9A7ED-196F-41FC-A494-A2AE26622816}">
  <dimension ref="A1:N402"/>
  <sheetViews>
    <sheetView workbookViewId="0">
      <selection activeCell="B1" sqref="B1:B1048576"/>
    </sheetView>
  </sheetViews>
  <sheetFormatPr defaultRowHeight="14.4" x14ac:dyDescent="0.3"/>
  <cols>
    <col min="1" max="1" width="10.5546875" bestFit="1" customWidth="1"/>
    <col min="2" max="2" width="10.21875" bestFit="1" customWidth="1"/>
    <col min="3" max="3" width="17.109375" bestFit="1" customWidth="1"/>
    <col min="4" max="4" width="16.44140625" bestFit="1" customWidth="1"/>
    <col min="5" max="5" width="15.6640625" bestFit="1" customWidth="1"/>
    <col min="7" max="7" width="14.88671875" bestFit="1" customWidth="1"/>
    <col min="8" max="8" width="12.77734375" bestFit="1" customWidth="1"/>
  </cols>
  <sheetData>
    <row r="1" spans="1:14" x14ac:dyDescent="0.3">
      <c r="A1" s="7" t="s">
        <v>8</v>
      </c>
      <c r="B1" s="8" t="s">
        <v>9</v>
      </c>
      <c r="C1" s="8" t="s">
        <v>26</v>
      </c>
      <c r="D1" s="8" t="s">
        <v>23</v>
      </c>
      <c r="E1" s="8" t="s">
        <v>12</v>
      </c>
      <c r="G1" s="8" t="s">
        <v>27</v>
      </c>
      <c r="H1" s="8" t="s">
        <v>13</v>
      </c>
      <c r="J1" t="s">
        <v>28</v>
      </c>
      <c r="K1" t="s">
        <v>12</v>
      </c>
      <c r="M1" t="s">
        <v>29</v>
      </c>
      <c r="N1" t="s">
        <v>13</v>
      </c>
    </row>
    <row r="2" spans="1:14" x14ac:dyDescent="0.3">
      <c r="A2" s="12" t="s">
        <v>25</v>
      </c>
      <c r="B2" s="13">
        <v>0.81608990740740739</v>
      </c>
      <c r="C2" s="14">
        <v>4.09</v>
      </c>
      <c r="D2" s="14">
        <v>0.01</v>
      </c>
      <c r="E2" s="14">
        <v>0.04</v>
      </c>
      <c r="G2" s="14">
        <v>6.26</v>
      </c>
      <c r="H2" s="14">
        <v>0.14000000000000001</v>
      </c>
      <c r="J2">
        <v>4.3</v>
      </c>
      <c r="K2">
        <v>0.05</v>
      </c>
      <c r="M2">
        <v>4.26</v>
      </c>
      <c r="N2">
        <v>0.15</v>
      </c>
    </row>
    <row r="3" spans="1:14" x14ac:dyDescent="0.3">
      <c r="A3" s="9" t="s">
        <v>25</v>
      </c>
      <c r="B3" s="10">
        <v>0.81610148148148143</v>
      </c>
      <c r="C3" s="11">
        <v>4.46</v>
      </c>
      <c r="D3" s="11">
        <v>0.01</v>
      </c>
      <c r="E3" s="11">
        <v>0.04</v>
      </c>
      <c r="G3" s="11">
        <v>6.24</v>
      </c>
      <c r="H3" s="11">
        <v>0.14000000000000001</v>
      </c>
      <c r="J3">
        <v>4.9800000000000004</v>
      </c>
      <c r="K3">
        <v>0.05</v>
      </c>
      <c r="M3">
        <v>4.26</v>
      </c>
      <c r="N3">
        <v>0.15</v>
      </c>
    </row>
    <row r="4" spans="1:14" x14ac:dyDescent="0.3">
      <c r="A4" s="12" t="s">
        <v>25</v>
      </c>
      <c r="B4" s="13">
        <v>0.81611305555555558</v>
      </c>
      <c r="C4" s="14">
        <v>4.46</v>
      </c>
      <c r="D4" s="14">
        <v>0.01</v>
      </c>
      <c r="E4" s="14">
        <v>0.04</v>
      </c>
      <c r="G4" s="14">
        <v>6.26</v>
      </c>
      <c r="H4" s="14">
        <v>0.14000000000000001</v>
      </c>
      <c r="J4">
        <v>4.97</v>
      </c>
      <c r="K4">
        <v>0.04</v>
      </c>
      <c r="M4">
        <v>4.26</v>
      </c>
      <c r="N4">
        <v>0.15</v>
      </c>
    </row>
    <row r="5" spans="1:14" x14ac:dyDescent="0.3">
      <c r="A5" s="9" t="s">
        <v>25</v>
      </c>
      <c r="B5" s="10">
        <v>0.81612462962962962</v>
      </c>
      <c r="C5" s="11">
        <v>4.3899999999999997</v>
      </c>
      <c r="D5" s="11">
        <v>0.01</v>
      </c>
      <c r="E5" s="11">
        <v>0.04</v>
      </c>
      <c r="G5" s="11">
        <v>6.71</v>
      </c>
      <c r="H5" s="11">
        <v>0.14000000000000001</v>
      </c>
      <c r="J5">
        <v>4.97</v>
      </c>
      <c r="K5">
        <v>0.04</v>
      </c>
      <c r="M5">
        <v>4.26</v>
      </c>
      <c r="N5">
        <v>0.15</v>
      </c>
    </row>
    <row r="6" spans="1:14" x14ac:dyDescent="0.3">
      <c r="A6" s="12" t="s">
        <v>25</v>
      </c>
      <c r="B6" s="13">
        <v>0.81613620370370366</v>
      </c>
      <c r="C6" s="14">
        <v>4.4000000000000004</v>
      </c>
      <c r="D6" s="14">
        <v>0.01</v>
      </c>
      <c r="E6" s="14">
        <v>0.04</v>
      </c>
      <c r="G6" s="14">
        <v>6.77</v>
      </c>
      <c r="H6" s="14">
        <v>0.15</v>
      </c>
      <c r="J6">
        <v>4.97</v>
      </c>
      <c r="K6">
        <v>0.04</v>
      </c>
      <c r="M6">
        <v>4.26</v>
      </c>
      <c r="N6">
        <v>0.15</v>
      </c>
    </row>
    <row r="7" spans="1:14" x14ac:dyDescent="0.3">
      <c r="A7" s="9" t="s">
        <v>25</v>
      </c>
      <c r="B7" s="10">
        <v>0.81614777777777781</v>
      </c>
      <c r="C7" s="11">
        <v>4.3899999999999997</v>
      </c>
      <c r="D7" s="11">
        <v>0.01</v>
      </c>
      <c r="E7" s="11">
        <v>0.04</v>
      </c>
      <c r="G7" s="11">
        <v>6.77</v>
      </c>
      <c r="H7" s="11">
        <v>0.15</v>
      </c>
      <c r="J7">
        <v>4.9800000000000004</v>
      </c>
      <c r="K7">
        <v>0.05</v>
      </c>
      <c r="M7">
        <v>4.26</v>
      </c>
      <c r="N7">
        <v>0.15</v>
      </c>
    </row>
    <row r="8" spans="1:14" x14ac:dyDescent="0.3">
      <c r="A8" s="12" t="s">
        <v>25</v>
      </c>
      <c r="B8" s="13">
        <v>0.81615935185185184</v>
      </c>
      <c r="C8" s="14">
        <v>4.38</v>
      </c>
      <c r="D8" s="14">
        <v>0.01</v>
      </c>
      <c r="E8" s="14">
        <v>0.04</v>
      </c>
      <c r="G8" s="14">
        <v>6.77</v>
      </c>
      <c r="H8" s="14">
        <v>0.15</v>
      </c>
      <c r="J8">
        <v>5.8</v>
      </c>
      <c r="K8">
        <v>0.04</v>
      </c>
      <c r="M8">
        <v>4.26</v>
      </c>
      <c r="N8">
        <v>0.15</v>
      </c>
    </row>
    <row r="9" spans="1:14" x14ac:dyDescent="0.3">
      <c r="A9" s="9" t="s">
        <v>25</v>
      </c>
      <c r="B9" s="10">
        <v>0.81617092592592588</v>
      </c>
      <c r="C9" s="11">
        <v>4.38</v>
      </c>
      <c r="D9" s="11">
        <v>0.01</v>
      </c>
      <c r="E9" s="11">
        <v>0.04</v>
      </c>
      <c r="G9" s="11">
        <v>6.77</v>
      </c>
      <c r="H9" s="11">
        <v>0.15</v>
      </c>
      <c r="J9">
        <v>5.55</v>
      </c>
      <c r="K9">
        <v>0.04</v>
      </c>
      <c r="M9">
        <v>4.26</v>
      </c>
      <c r="N9">
        <v>0.15</v>
      </c>
    </row>
    <row r="10" spans="1:14" x14ac:dyDescent="0.3">
      <c r="A10" s="12" t="s">
        <v>25</v>
      </c>
      <c r="B10" s="13">
        <v>0.81618250000000003</v>
      </c>
      <c r="C10" s="14">
        <v>4.37</v>
      </c>
      <c r="D10" s="14">
        <v>0.01</v>
      </c>
      <c r="E10" s="14">
        <v>0.04</v>
      </c>
      <c r="G10" s="14">
        <v>6.77</v>
      </c>
      <c r="H10" s="14">
        <v>0.15</v>
      </c>
      <c r="J10">
        <v>4.83</v>
      </c>
      <c r="K10">
        <v>0.04</v>
      </c>
      <c r="M10">
        <v>4.26</v>
      </c>
      <c r="N10">
        <v>0.15</v>
      </c>
    </row>
    <row r="11" spans="1:14" x14ac:dyDescent="0.3">
      <c r="A11" s="9" t="s">
        <v>25</v>
      </c>
      <c r="B11" s="10">
        <v>0.81619407407407407</v>
      </c>
      <c r="C11" s="11">
        <v>4.37</v>
      </c>
      <c r="D11" s="11">
        <v>0.01</v>
      </c>
      <c r="E11" s="11">
        <v>0.04</v>
      </c>
      <c r="G11" s="11">
        <v>6.77</v>
      </c>
      <c r="H11" s="11">
        <v>0.15</v>
      </c>
      <c r="J11">
        <v>4.68</v>
      </c>
      <c r="K11">
        <v>0.04</v>
      </c>
      <c r="M11">
        <v>4.6399999999999997</v>
      </c>
      <c r="N11">
        <v>0.15</v>
      </c>
    </row>
    <row r="12" spans="1:14" x14ac:dyDescent="0.3">
      <c r="A12" s="12" t="s">
        <v>25</v>
      </c>
      <c r="B12" s="13">
        <v>0.81620564814814811</v>
      </c>
      <c r="C12" s="14">
        <v>4.3600000000000003</v>
      </c>
      <c r="D12" s="14">
        <v>0.01</v>
      </c>
      <c r="E12" s="14">
        <v>0.04</v>
      </c>
      <c r="G12" s="14">
        <v>6.77</v>
      </c>
      <c r="H12" s="14">
        <v>0.15</v>
      </c>
      <c r="J12">
        <v>4.99</v>
      </c>
      <c r="K12">
        <v>0.04</v>
      </c>
      <c r="M12">
        <v>5</v>
      </c>
      <c r="N12">
        <v>0.15</v>
      </c>
    </row>
    <row r="13" spans="1:14" x14ac:dyDescent="0.3">
      <c r="A13" s="9" t="s">
        <v>25</v>
      </c>
      <c r="B13" s="10">
        <v>0.81621722222222226</v>
      </c>
      <c r="C13" s="11">
        <v>4.3499999999999996</v>
      </c>
      <c r="D13" s="11">
        <v>0.01</v>
      </c>
      <c r="E13" s="11">
        <v>0.04</v>
      </c>
      <c r="G13" s="11">
        <v>6.77</v>
      </c>
      <c r="H13" s="11">
        <v>0.15</v>
      </c>
      <c r="J13">
        <v>4.66</v>
      </c>
      <c r="K13">
        <v>0.04</v>
      </c>
      <c r="M13">
        <v>4.55</v>
      </c>
      <c r="N13">
        <v>0.15</v>
      </c>
    </row>
    <row r="14" spans="1:14" x14ac:dyDescent="0.3">
      <c r="A14" s="12" t="s">
        <v>25</v>
      </c>
      <c r="B14" s="13">
        <v>0.8162287962962963</v>
      </c>
      <c r="C14" s="14">
        <v>4.34</v>
      </c>
      <c r="D14" s="14">
        <v>0.01</v>
      </c>
      <c r="E14" s="14">
        <v>0.04</v>
      </c>
      <c r="G14" s="14">
        <v>6.77</v>
      </c>
      <c r="H14" s="14">
        <v>0.14000000000000001</v>
      </c>
      <c r="J14">
        <v>4.83</v>
      </c>
      <c r="K14">
        <v>0.05</v>
      </c>
      <c r="M14">
        <v>4.99</v>
      </c>
      <c r="N14">
        <v>0.15</v>
      </c>
    </row>
    <row r="15" spans="1:14" x14ac:dyDescent="0.3">
      <c r="A15" s="9" t="s">
        <v>25</v>
      </c>
      <c r="B15" s="10">
        <v>0.81624037037037034</v>
      </c>
      <c r="C15" s="11">
        <v>4.34</v>
      </c>
      <c r="D15" s="11">
        <v>0.01</v>
      </c>
      <c r="E15" s="11">
        <v>0.04</v>
      </c>
      <c r="G15" s="11">
        <v>6.77</v>
      </c>
      <c r="H15" s="11">
        <v>0.15</v>
      </c>
      <c r="J15">
        <v>4.78</v>
      </c>
      <c r="K15">
        <v>0.04</v>
      </c>
      <c r="M15">
        <v>4.62</v>
      </c>
      <c r="N15">
        <v>0.15</v>
      </c>
    </row>
    <row r="16" spans="1:14" x14ac:dyDescent="0.3">
      <c r="A16" s="12" t="s">
        <v>25</v>
      </c>
      <c r="B16" s="13">
        <v>0.81625194444444449</v>
      </c>
      <c r="C16" s="14">
        <v>4.3499999999999996</v>
      </c>
      <c r="D16" s="14">
        <v>0.01</v>
      </c>
      <c r="E16" s="14">
        <v>0.04</v>
      </c>
      <c r="G16" s="14">
        <v>6.75</v>
      </c>
      <c r="H16" s="14">
        <v>0.14000000000000001</v>
      </c>
      <c r="J16">
        <v>4.75</v>
      </c>
      <c r="K16">
        <v>0.04</v>
      </c>
      <c r="M16">
        <v>4.8</v>
      </c>
      <c r="N16">
        <v>0.15</v>
      </c>
    </row>
    <row r="17" spans="1:14" x14ac:dyDescent="0.3">
      <c r="A17" s="9" t="s">
        <v>25</v>
      </c>
      <c r="B17" s="10">
        <v>0.81626351851851853</v>
      </c>
      <c r="C17" s="11">
        <v>4.34</v>
      </c>
      <c r="D17" s="11">
        <v>0.01</v>
      </c>
      <c r="E17" s="11">
        <v>0.04</v>
      </c>
      <c r="G17" s="11">
        <v>6.61</v>
      </c>
      <c r="H17" s="11">
        <v>0.14000000000000001</v>
      </c>
      <c r="J17">
        <v>5.07</v>
      </c>
      <c r="K17">
        <v>0.04</v>
      </c>
      <c r="M17">
        <v>4.8499999999999996</v>
      </c>
      <c r="N17">
        <v>0.15</v>
      </c>
    </row>
    <row r="18" spans="1:14" x14ac:dyDescent="0.3">
      <c r="A18" s="12" t="s">
        <v>25</v>
      </c>
      <c r="B18" s="13">
        <v>0.81627509259259257</v>
      </c>
      <c r="C18" s="14">
        <v>4.34</v>
      </c>
      <c r="D18" s="14">
        <v>0.01</v>
      </c>
      <c r="E18" s="14">
        <v>0.04</v>
      </c>
      <c r="G18" s="14">
        <v>6.61</v>
      </c>
      <c r="H18" s="14">
        <v>0.14000000000000001</v>
      </c>
      <c r="J18">
        <v>4.66</v>
      </c>
      <c r="K18">
        <v>0.04</v>
      </c>
      <c r="M18">
        <v>4.66</v>
      </c>
      <c r="N18">
        <v>0.15</v>
      </c>
    </row>
    <row r="19" spans="1:14" x14ac:dyDescent="0.3">
      <c r="A19" s="9" t="s">
        <v>25</v>
      </c>
      <c r="B19" s="10">
        <v>0.81628666666666672</v>
      </c>
      <c r="C19" s="11">
        <v>4.32</v>
      </c>
      <c r="D19" s="11">
        <v>0.01</v>
      </c>
      <c r="E19" s="11">
        <v>0.04</v>
      </c>
      <c r="G19" s="11">
        <v>6.27</v>
      </c>
      <c r="H19" s="11">
        <v>0.14000000000000001</v>
      </c>
      <c r="J19">
        <v>4.9400000000000004</v>
      </c>
      <c r="K19">
        <v>0.04</v>
      </c>
      <c r="M19">
        <v>4.97</v>
      </c>
      <c r="N19">
        <v>0.15</v>
      </c>
    </row>
    <row r="20" spans="1:14" x14ac:dyDescent="0.3">
      <c r="A20" s="12" t="s">
        <v>25</v>
      </c>
      <c r="B20" s="13">
        <v>0.81629824074074075</v>
      </c>
      <c r="C20" s="14">
        <v>4.42</v>
      </c>
      <c r="D20" s="14">
        <v>0.01</v>
      </c>
      <c r="E20" s="14">
        <v>0.04</v>
      </c>
      <c r="G20" s="14">
        <v>5.64</v>
      </c>
      <c r="H20" s="14">
        <v>0.15</v>
      </c>
      <c r="J20">
        <v>4.6900000000000004</v>
      </c>
      <c r="K20">
        <v>0.04</v>
      </c>
      <c r="M20">
        <v>4.62</v>
      </c>
      <c r="N20">
        <v>0.15</v>
      </c>
    </row>
    <row r="21" spans="1:14" x14ac:dyDescent="0.3">
      <c r="A21" s="9" t="s">
        <v>25</v>
      </c>
      <c r="B21" s="10">
        <v>0.81630981481481479</v>
      </c>
      <c r="C21" s="11">
        <v>4.99</v>
      </c>
      <c r="D21" s="11">
        <v>0.01</v>
      </c>
      <c r="E21" s="11">
        <v>0.04</v>
      </c>
      <c r="G21" s="11">
        <v>5.67</v>
      </c>
      <c r="H21" s="11">
        <v>0.15</v>
      </c>
      <c r="J21">
        <v>4.87</v>
      </c>
      <c r="K21">
        <v>0.04</v>
      </c>
      <c r="M21">
        <v>4.9000000000000004</v>
      </c>
      <c r="N21">
        <v>0.15</v>
      </c>
    </row>
    <row r="22" spans="1:14" x14ac:dyDescent="0.3">
      <c r="A22" s="12" t="s">
        <v>25</v>
      </c>
      <c r="B22" s="13">
        <v>0.81632138888888894</v>
      </c>
      <c r="C22" s="14">
        <v>4.9800000000000004</v>
      </c>
      <c r="D22" s="14">
        <v>0.01</v>
      </c>
      <c r="E22" s="14">
        <v>0.04</v>
      </c>
      <c r="G22" s="14">
        <v>5.64</v>
      </c>
      <c r="H22" s="14">
        <v>0.15</v>
      </c>
      <c r="J22">
        <v>4.87</v>
      </c>
      <c r="K22">
        <v>0.04</v>
      </c>
      <c r="M22">
        <v>4.68</v>
      </c>
      <c r="N22">
        <v>0.15</v>
      </c>
    </row>
    <row r="23" spans="1:14" x14ac:dyDescent="0.3">
      <c r="A23" s="9" t="s">
        <v>25</v>
      </c>
      <c r="B23" s="10">
        <v>0.81633296296296298</v>
      </c>
      <c r="C23" s="11">
        <v>4.97</v>
      </c>
      <c r="D23" s="11">
        <v>0.01</v>
      </c>
      <c r="E23" s="11">
        <v>0.04</v>
      </c>
      <c r="G23" s="11">
        <v>5.6</v>
      </c>
      <c r="H23" s="11">
        <v>0.15</v>
      </c>
      <c r="J23">
        <v>4.7300000000000004</v>
      </c>
      <c r="K23">
        <v>0.04</v>
      </c>
      <c r="M23">
        <v>4.7699999999999996</v>
      </c>
      <c r="N23">
        <v>0.15</v>
      </c>
    </row>
    <row r="24" spans="1:14" x14ac:dyDescent="0.3">
      <c r="A24" s="12" t="s">
        <v>25</v>
      </c>
      <c r="B24" s="13">
        <v>0.81634453703703702</v>
      </c>
      <c r="C24" s="14">
        <v>4.97</v>
      </c>
      <c r="D24" s="14">
        <v>0.01</v>
      </c>
      <c r="E24" s="14">
        <v>0.04</v>
      </c>
      <c r="G24" s="14">
        <v>5.1100000000000003</v>
      </c>
      <c r="H24" s="14">
        <v>0.14000000000000001</v>
      </c>
      <c r="J24">
        <v>5.12</v>
      </c>
      <c r="K24">
        <v>0.04</v>
      </c>
      <c r="M24">
        <v>4.8899999999999997</v>
      </c>
      <c r="N24">
        <v>0.15</v>
      </c>
    </row>
    <row r="25" spans="1:14" x14ac:dyDescent="0.3">
      <c r="A25" s="9" t="s">
        <v>25</v>
      </c>
      <c r="B25" s="10">
        <v>0.81635611111111106</v>
      </c>
      <c r="C25" s="11">
        <v>5.1100000000000003</v>
      </c>
      <c r="D25" s="11">
        <v>0.01</v>
      </c>
      <c r="E25" s="11">
        <v>0.04</v>
      </c>
      <c r="G25" s="11">
        <v>4.93</v>
      </c>
      <c r="H25" s="11">
        <v>0.15</v>
      </c>
      <c r="J25">
        <v>4.6500000000000004</v>
      </c>
      <c r="K25">
        <v>0.05</v>
      </c>
      <c r="M25">
        <v>4.71</v>
      </c>
      <c r="N25">
        <v>0.15</v>
      </c>
    </row>
    <row r="26" spans="1:14" x14ac:dyDescent="0.3">
      <c r="A26" s="12" t="s">
        <v>25</v>
      </c>
      <c r="B26" s="13">
        <v>0.81636768518518521</v>
      </c>
      <c r="C26" s="14">
        <v>5.78</v>
      </c>
      <c r="D26" s="14">
        <v>0.01</v>
      </c>
      <c r="E26" s="14">
        <v>0.04</v>
      </c>
      <c r="G26" s="14">
        <v>5.18</v>
      </c>
      <c r="H26" s="14">
        <v>0.15</v>
      </c>
      <c r="J26">
        <v>4.9400000000000004</v>
      </c>
      <c r="K26">
        <v>0.05</v>
      </c>
      <c r="M26">
        <v>5.08</v>
      </c>
      <c r="N26">
        <v>0.15</v>
      </c>
    </row>
    <row r="27" spans="1:14" x14ac:dyDescent="0.3">
      <c r="A27" s="9" t="s">
        <v>25</v>
      </c>
      <c r="B27" s="10">
        <v>0.81637925925925925</v>
      </c>
      <c r="C27" s="11">
        <v>5.76</v>
      </c>
      <c r="D27" s="11">
        <v>0.01</v>
      </c>
      <c r="E27" s="11">
        <v>0.04</v>
      </c>
      <c r="G27" s="11">
        <v>4.82</v>
      </c>
      <c r="H27" s="11">
        <v>0.14000000000000001</v>
      </c>
      <c r="J27">
        <v>4.75</v>
      </c>
      <c r="K27">
        <v>0.05</v>
      </c>
      <c r="M27">
        <v>4.57</v>
      </c>
      <c r="N27">
        <v>0.15</v>
      </c>
    </row>
    <row r="28" spans="1:14" x14ac:dyDescent="0.3">
      <c r="A28" s="12" t="s">
        <v>25</v>
      </c>
      <c r="B28" s="13">
        <v>0.81639083333333329</v>
      </c>
      <c r="C28" s="14">
        <v>5.75</v>
      </c>
      <c r="D28" s="14">
        <v>0.01</v>
      </c>
      <c r="E28" s="14">
        <v>0.04</v>
      </c>
      <c r="G28" s="14">
        <v>5.29</v>
      </c>
      <c r="H28" s="14">
        <v>0.14000000000000001</v>
      </c>
      <c r="J28">
        <v>4.7300000000000004</v>
      </c>
      <c r="K28">
        <v>0.05</v>
      </c>
      <c r="M28">
        <v>4.87</v>
      </c>
      <c r="N28">
        <v>0.15</v>
      </c>
    </row>
    <row r="29" spans="1:14" x14ac:dyDescent="0.3">
      <c r="A29" s="9" t="s">
        <v>25</v>
      </c>
      <c r="B29" s="10">
        <v>0.81640240740740744</v>
      </c>
      <c r="C29" s="11">
        <v>5.74</v>
      </c>
      <c r="D29" s="11">
        <v>0.01</v>
      </c>
      <c r="E29" s="11">
        <v>0.04</v>
      </c>
      <c r="G29" s="11">
        <v>4.8099999999999996</v>
      </c>
      <c r="H29" s="11">
        <v>0.14000000000000001</v>
      </c>
      <c r="J29">
        <v>4.92</v>
      </c>
      <c r="K29">
        <v>0.05</v>
      </c>
      <c r="M29">
        <v>4.78</v>
      </c>
      <c r="N29">
        <v>0.15</v>
      </c>
    </row>
    <row r="30" spans="1:14" x14ac:dyDescent="0.3">
      <c r="A30" s="12" t="s">
        <v>25</v>
      </c>
      <c r="B30" s="13">
        <v>0.81641398148148148</v>
      </c>
      <c r="C30" s="14">
        <v>5.78</v>
      </c>
      <c r="D30" s="14">
        <v>0.01</v>
      </c>
      <c r="E30" s="14">
        <v>0.04</v>
      </c>
      <c r="G30" s="14">
        <v>5.12</v>
      </c>
      <c r="H30" s="14">
        <v>0.14000000000000001</v>
      </c>
      <c r="J30">
        <v>4.84</v>
      </c>
      <c r="K30">
        <v>0.05</v>
      </c>
      <c r="M30">
        <v>4.7300000000000004</v>
      </c>
      <c r="N30">
        <v>0.15</v>
      </c>
    </row>
    <row r="31" spans="1:14" x14ac:dyDescent="0.3">
      <c r="A31" s="9" t="s">
        <v>25</v>
      </c>
      <c r="B31" s="10">
        <v>0.81642555555555552</v>
      </c>
      <c r="C31" s="11">
        <v>6</v>
      </c>
      <c r="D31" s="11">
        <v>0.01</v>
      </c>
      <c r="E31" s="11">
        <v>0.04</v>
      </c>
      <c r="G31" s="11">
        <v>4.97</v>
      </c>
      <c r="H31" s="11">
        <v>0.14000000000000001</v>
      </c>
      <c r="J31">
        <v>5.16</v>
      </c>
      <c r="K31">
        <v>0.05</v>
      </c>
      <c r="M31">
        <v>5.01</v>
      </c>
      <c r="N31">
        <v>0.15</v>
      </c>
    </row>
    <row r="32" spans="1:14" x14ac:dyDescent="0.3">
      <c r="A32" s="12" t="s">
        <v>25</v>
      </c>
      <c r="B32" s="13">
        <v>0.81643712962962967</v>
      </c>
      <c r="C32" s="14">
        <v>6</v>
      </c>
      <c r="D32" s="14">
        <v>0.01</v>
      </c>
      <c r="E32" s="14">
        <v>0.04</v>
      </c>
      <c r="G32" s="14">
        <v>4.8600000000000003</v>
      </c>
      <c r="H32" s="14">
        <v>0.14000000000000001</v>
      </c>
      <c r="J32">
        <v>4.58</v>
      </c>
      <c r="K32">
        <v>0.05</v>
      </c>
      <c r="M32">
        <v>4.68</v>
      </c>
      <c r="N32">
        <v>0.15</v>
      </c>
    </row>
    <row r="33" spans="1:14" x14ac:dyDescent="0.3">
      <c r="A33" s="9" t="s">
        <v>25</v>
      </c>
      <c r="B33" s="10">
        <v>0.8164487037037037</v>
      </c>
      <c r="C33" s="11">
        <v>6</v>
      </c>
      <c r="D33" s="11">
        <v>0.01</v>
      </c>
      <c r="E33" s="11">
        <v>0.04</v>
      </c>
      <c r="G33" s="11">
        <v>5.16</v>
      </c>
      <c r="H33" s="11">
        <v>0.14000000000000001</v>
      </c>
      <c r="J33">
        <v>4.88</v>
      </c>
      <c r="K33">
        <v>0.05</v>
      </c>
      <c r="M33">
        <v>5.03</v>
      </c>
      <c r="N33">
        <v>0.14000000000000001</v>
      </c>
    </row>
    <row r="34" spans="1:14" x14ac:dyDescent="0.3">
      <c r="A34" s="12" t="s">
        <v>25</v>
      </c>
      <c r="B34" s="13">
        <v>0.81646027777777774</v>
      </c>
      <c r="C34" s="14">
        <v>6</v>
      </c>
      <c r="D34" s="14">
        <v>0.01</v>
      </c>
      <c r="E34" s="14">
        <v>0.04</v>
      </c>
      <c r="G34" s="14">
        <v>4.78</v>
      </c>
      <c r="H34" s="14">
        <v>0.14000000000000001</v>
      </c>
      <c r="J34">
        <v>4.72</v>
      </c>
      <c r="K34">
        <v>0.05</v>
      </c>
      <c r="M34">
        <v>4.76</v>
      </c>
      <c r="N34">
        <v>0.14000000000000001</v>
      </c>
    </row>
    <row r="35" spans="1:14" x14ac:dyDescent="0.3">
      <c r="A35" s="9" t="s">
        <v>25</v>
      </c>
      <c r="B35" s="10">
        <v>0.81647185185185189</v>
      </c>
      <c r="C35" s="11">
        <v>6.02</v>
      </c>
      <c r="D35" s="11">
        <v>0.01</v>
      </c>
      <c r="E35" s="11">
        <v>0.04</v>
      </c>
      <c r="G35" s="11">
        <v>5.18</v>
      </c>
      <c r="H35" s="11">
        <v>0.14000000000000001</v>
      </c>
      <c r="J35">
        <v>4.88</v>
      </c>
      <c r="K35">
        <v>0.05</v>
      </c>
      <c r="M35">
        <v>4.79</v>
      </c>
      <c r="N35">
        <v>0.15</v>
      </c>
    </row>
    <row r="36" spans="1:14" x14ac:dyDescent="0.3">
      <c r="A36" s="12" t="s">
        <v>25</v>
      </c>
      <c r="B36" s="13">
        <v>0.81648342592592593</v>
      </c>
      <c r="C36" s="14">
        <v>6.14</v>
      </c>
      <c r="D36" s="14">
        <v>0.01</v>
      </c>
      <c r="E36" s="14">
        <v>0.04</v>
      </c>
      <c r="G36" s="14">
        <v>4.76</v>
      </c>
      <c r="H36" s="14">
        <v>0.15</v>
      </c>
      <c r="J36">
        <v>4.92</v>
      </c>
      <c r="K36">
        <v>0.05</v>
      </c>
      <c r="M36">
        <v>4.53</v>
      </c>
      <c r="N36">
        <v>0.15</v>
      </c>
    </row>
    <row r="37" spans="1:14" x14ac:dyDescent="0.3">
      <c r="A37" s="9" t="s">
        <v>25</v>
      </c>
      <c r="B37" s="10">
        <v>0.81649499999999997</v>
      </c>
      <c r="C37" s="11">
        <v>6.14</v>
      </c>
      <c r="D37" s="11">
        <v>0.01</v>
      </c>
      <c r="E37" s="11">
        <v>0.04</v>
      </c>
      <c r="G37" s="11">
        <v>5.07</v>
      </c>
      <c r="H37" s="11">
        <v>0.14000000000000001</v>
      </c>
      <c r="J37">
        <v>4.76</v>
      </c>
      <c r="K37">
        <v>0.05</v>
      </c>
      <c r="M37">
        <v>4.6900000000000004</v>
      </c>
      <c r="N37">
        <v>0.15</v>
      </c>
    </row>
    <row r="38" spans="1:14" x14ac:dyDescent="0.3">
      <c r="A38" s="12" t="s">
        <v>25</v>
      </c>
      <c r="B38" s="13">
        <v>0.81650657407407412</v>
      </c>
      <c r="C38" s="14">
        <v>6.14</v>
      </c>
      <c r="D38" s="14">
        <v>0.01</v>
      </c>
      <c r="E38" s="14">
        <v>0.04</v>
      </c>
      <c r="G38" s="14">
        <v>4.83</v>
      </c>
      <c r="H38" s="14">
        <v>0.14000000000000001</v>
      </c>
      <c r="J38">
        <v>5.15</v>
      </c>
      <c r="K38">
        <v>0.05</v>
      </c>
      <c r="M38">
        <v>4.71</v>
      </c>
      <c r="N38">
        <v>0.15</v>
      </c>
    </row>
    <row r="39" spans="1:14" x14ac:dyDescent="0.3">
      <c r="A39" s="9" t="s">
        <v>25</v>
      </c>
      <c r="B39" s="10">
        <v>0.81651814814814816</v>
      </c>
      <c r="C39" s="11">
        <v>6.14</v>
      </c>
      <c r="D39" s="11">
        <v>0.01</v>
      </c>
      <c r="E39" s="11">
        <v>0.04</v>
      </c>
      <c r="G39" s="11">
        <v>4.92</v>
      </c>
      <c r="H39" s="11">
        <v>0.14000000000000001</v>
      </c>
      <c r="J39">
        <v>4.8</v>
      </c>
      <c r="K39">
        <v>0.05</v>
      </c>
      <c r="M39">
        <v>4.6500000000000004</v>
      </c>
      <c r="N39">
        <v>0.15</v>
      </c>
    </row>
    <row r="40" spans="1:14" x14ac:dyDescent="0.3">
      <c r="A40" s="12" t="s">
        <v>25</v>
      </c>
      <c r="B40" s="13">
        <v>0.8165297222222222</v>
      </c>
      <c r="C40" s="14">
        <v>6.15</v>
      </c>
      <c r="D40" s="14">
        <v>0.01</v>
      </c>
      <c r="E40" s="14">
        <v>0.04</v>
      </c>
      <c r="G40" s="14">
        <v>5.0999999999999996</v>
      </c>
      <c r="H40" s="14">
        <v>0.15</v>
      </c>
      <c r="J40">
        <v>4.8499999999999996</v>
      </c>
      <c r="K40">
        <v>0.05</v>
      </c>
      <c r="M40">
        <v>4.93</v>
      </c>
      <c r="N40">
        <v>0.15</v>
      </c>
    </row>
    <row r="41" spans="1:14" x14ac:dyDescent="0.3">
      <c r="A41" s="9" t="s">
        <v>25</v>
      </c>
      <c r="B41" s="10">
        <v>0.81654129629629635</v>
      </c>
      <c r="C41" s="11">
        <v>6.24</v>
      </c>
      <c r="D41" s="11">
        <v>0.01</v>
      </c>
      <c r="E41" s="11">
        <v>0.04</v>
      </c>
      <c r="G41" s="11">
        <v>4.79</v>
      </c>
      <c r="H41" s="11">
        <v>0.15</v>
      </c>
      <c r="J41">
        <v>4.84</v>
      </c>
      <c r="K41">
        <v>0.05</v>
      </c>
      <c r="M41">
        <v>4.4800000000000004</v>
      </c>
      <c r="N41">
        <v>0.15</v>
      </c>
    </row>
    <row r="42" spans="1:14" x14ac:dyDescent="0.3">
      <c r="A42" s="12" t="s">
        <v>25</v>
      </c>
      <c r="B42" s="13">
        <v>0.81655287037037039</v>
      </c>
      <c r="C42" s="14">
        <v>6.24</v>
      </c>
      <c r="D42" s="14">
        <v>0.01</v>
      </c>
      <c r="E42" s="14">
        <v>0.04</v>
      </c>
      <c r="G42" s="14">
        <v>5.09</v>
      </c>
      <c r="H42" s="14">
        <v>0.14000000000000001</v>
      </c>
      <c r="J42">
        <v>4.7699999999999996</v>
      </c>
      <c r="K42">
        <v>0.05</v>
      </c>
      <c r="M42">
        <v>4.72</v>
      </c>
      <c r="N42">
        <v>0.15</v>
      </c>
    </row>
    <row r="43" spans="1:14" x14ac:dyDescent="0.3">
      <c r="A43" s="9" t="s">
        <v>25</v>
      </c>
      <c r="B43" s="10">
        <v>0.81656444444444443</v>
      </c>
      <c r="C43" s="11">
        <v>6.24</v>
      </c>
      <c r="D43" s="11">
        <v>0.01</v>
      </c>
      <c r="E43" s="11">
        <v>0.04</v>
      </c>
      <c r="G43" s="11">
        <v>4.74</v>
      </c>
      <c r="H43" s="11">
        <v>0.14000000000000001</v>
      </c>
      <c r="J43">
        <v>5.17</v>
      </c>
      <c r="K43">
        <v>0.05</v>
      </c>
      <c r="M43">
        <v>4.82</v>
      </c>
      <c r="N43">
        <v>0.15</v>
      </c>
    </row>
    <row r="44" spans="1:14" x14ac:dyDescent="0.3">
      <c r="A44" s="12" t="s">
        <v>25</v>
      </c>
      <c r="B44" s="13">
        <v>0.81657601851851846</v>
      </c>
      <c r="C44" s="14">
        <v>6.24</v>
      </c>
      <c r="D44" s="14">
        <v>0.01</v>
      </c>
      <c r="E44" s="14">
        <v>0.04</v>
      </c>
      <c r="G44" s="14">
        <v>4.91</v>
      </c>
      <c r="H44" s="14">
        <v>0.14000000000000001</v>
      </c>
      <c r="J44">
        <v>4.79</v>
      </c>
      <c r="K44">
        <v>0.04</v>
      </c>
      <c r="M44">
        <v>4.46</v>
      </c>
      <c r="N44">
        <v>0.15</v>
      </c>
    </row>
    <row r="45" spans="1:14" x14ac:dyDescent="0.3">
      <c r="A45" s="9" t="s">
        <v>25</v>
      </c>
      <c r="B45" s="10">
        <v>0.81658759259259261</v>
      </c>
      <c r="C45" s="11">
        <v>6.26</v>
      </c>
      <c r="D45" s="11">
        <v>0.01</v>
      </c>
      <c r="E45" s="11">
        <v>0.04</v>
      </c>
      <c r="G45" s="11">
        <v>4.87</v>
      </c>
      <c r="H45" s="11">
        <v>0.14000000000000001</v>
      </c>
      <c r="J45">
        <v>5.0599999999999996</v>
      </c>
      <c r="K45">
        <v>0.04</v>
      </c>
      <c r="M45">
        <v>4.97</v>
      </c>
      <c r="N45">
        <v>0.15</v>
      </c>
    </row>
    <row r="46" spans="1:14" x14ac:dyDescent="0.3">
      <c r="A46" s="12" t="s">
        <v>25</v>
      </c>
      <c r="B46" s="13">
        <v>0.81659916666666665</v>
      </c>
      <c r="C46" s="14">
        <v>6.41</v>
      </c>
      <c r="D46" s="14">
        <v>0.01</v>
      </c>
      <c r="E46" s="14">
        <v>0.04</v>
      </c>
      <c r="G46" s="14">
        <v>4.87</v>
      </c>
      <c r="H46" s="14">
        <v>0.14000000000000001</v>
      </c>
      <c r="J46">
        <v>4.91</v>
      </c>
      <c r="K46">
        <v>0.04</v>
      </c>
      <c r="M46">
        <v>4.53</v>
      </c>
      <c r="N46">
        <v>0.15</v>
      </c>
    </row>
    <row r="47" spans="1:14" x14ac:dyDescent="0.3">
      <c r="A47" s="9" t="s">
        <v>25</v>
      </c>
      <c r="B47" s="10">
        <v>0.81661074074074069</v>
      </c>
      <c r="C47" s="11">
        <v>6.41</v>
      </c>
      <c r="D47" s="11">
        <v>0.01</v>
      </c>
      <c r="E47" s="11">
        <v>0.04</v>
      </c>
      <c r="G47" s="11">
        <v>5.08</v>
      </c>
      <c r="H47" s="11">
        <v>0.14000000000000001</v>
      </c>
      <c r="J47">
        <v>4.68</v>
      </c>
      <c r="K47">
        <v>0.05</v>
      </c>
      <c r="M47">
        <v>4.83</v>
      </c>
      <c r="N47">
        <v>0.15</v>
      </c>
    </row>
    <row r="48" spans="1:14" x14ac:dyDescent="0.3">
      <c r="A48" s="12" t="s">
        <v>25</v>
      </c>
      <c r="B48" s="13">
        <v>0.81662231481481484</v>
      </c>
      <c r="C48" s="14">
        <v>6.41</v>
      </c>
      <c r="D48" s="14">
        <v>0.01</v>
      </c>
      <c r="E48" s="14">
        <v>0.04</v>
      </c>
      <c r="G48" s="14">
        <v>4.76</v>
      </c>
      <c r="H48" s="14">
        <v>0.14000000000000001</v>
      </c>
      <c r="J48">
        <v>4.8099999999999996</v>
      </c>
      <c r="K48">
        <v>0.04</v>
      </c>
      <c r="M48">
        <v>4.54</v>
      </c>
      <c r="N48">
        <v>0.15</v>
      </c>
    </row>
    <row r="49" spans="1:14" x14ac:dyDescent="0.3">
      <c r="A49" s="9" t="s">
        <v>25</v>
      </c>
      <c r="B49" s="10">
        <v>0.81663388888888888</v>
      </c>
      <c r="C49" s="11">
        <v>6.41</v>
      </c>
      <c r="D49" s="11">
        <v>0.01</v>
      </c>
      <c r="E49" s="11">
        <v>0.04</v>
      </c>
      <c r="G49" s="11">
        <v>5.16</v>
      </c>
      <c r="H49" s="11">
        <v>0.14000000000000001</v>
      </c>
      <c r="J49">
        <v>4.79</v>
      </c>
      <c r="K49">
        <v>0.04</v>
      </c>
      <c r="M49">
        <v>4.71</v>
      </c>
      <c r="N49">
        <v>0.15</v>
      </c>
    </row>
    <row r="50" spans="1:14" x14ac:dyDescent="0.3">
      <c r="A50" s="12" t="s">
        <v>25</v>
      </c>
      <c r="B50" s="13">
        <v>0.81664546296296292</v>
      </c>
      <c r="C50" s="14">
        <v>6.43</v>
      </c>
      <c r="D50" s="14">
        <v>0.01</v>
      </c>
      <c r="E50" s="14">
        <v>0.04</v>
      </c>
      <c r="G50" s="14">
        <v>4.75</v>
      </c>
      <c r="H50" s="14">
        <v>0.14000000000000001</v>
      </c>
      <c r="J50">
        <v>5.0999999999999996</v>
      </c>
      <c r="K50">
        <v>0.04</v>
      </c>
      <c r="M50">
        <v>4.5599999999999996</v>
      </c>
      <c r="N50">
        <v>0.15</v>
      </c>
    </row>
    <row r="51" spans="1:14" x14ac:dyDescent="0.3">
      <c r="A51" s="9" t="s">
        <v>25</v>
      </c>
      <c r="B51" s="10">
        <v>0.81665703703703707</v>
      </c>
      <c r="C51" s="11">
        <v>6.57</v>
      </c>
      <c r="D51" s="11">
        <v>0.01</v>
      </c>
      <c r="E51" s="11">
        <v>0.04</v>
      </c>
      <c r="G51" s="11">
        <v>4.96</v>
      </c>
      <c r="H51" s="11">
        <v>0.14000000000000001</v>
      </c>
      <c r="J51">
        <v>4.74</v>
      </c>
      <c r="K51">
        <v>0.04</v>
      </c>
      <c r="M51">
        <v>4.63</v>
      </c>
      <c r="N51">
        <v>0.15</v>
      </c>
    </row>
    <row r="52" spans="1:14" x14ac:dyDescent="0.3">
      <c r="A52" s="12" t="s">
        <v>25</v>
      </c>
      <c r="B52" s="13">
        <v>0.81666861111111111</v>
      </c>
      <c r="C52" s="14">
        <v>6.57</v>
      </c>
      <c r="D52" s="14">
        <v>0.01</v>
      </c>
      <c r="E52" s="14">
        <v>0.04</v>
      </c>
      <c r="G52" s="14">
        <v>4.91</v>
      </c>
      <c r="H52" s="14">
        <v>0.14000000000000001</v>
      </c>
      <c r="J52">
        <v>5</v>
      </c>
      <c r="K52">
        <v>0.04</v>
      </c>
      <c r="M52">
        <v>4.8600000000000003</v>
      </c>
      <c r="N52">
        <v>0.15</v>
      </c>
    </row>
    <row r="53" spans="1:14" x14ac:dyDescent="0.3">
      <c r="A53" s="9" t="s">
        <v>25</v>
      </c>
      <c r="B53" s="10">
        <v>0.81668018518518515</v>
      </c>
      <c r="C53" s="11">
        <v>6.57</v>
      </c>
      <c r="D53" s="11">
        <v>0.01</v>
      </c>
      <c r="E53" s="11">
        <v>0.04</v>
      </c>
      <c r="G53" s="11">
        <v>4.8099999999999996</v>
      </c>
      <c r="H53" s="11">
        <v>0.14000000000000001</v>
      </c>
      <c r="J53">
        <v>4.6399999999999997</v>
      </c>
      <c r="K53">
        <v>0.04</v>
      </c>
      <c r="M53">
        <v>4.57</v>
      </c>
      <c r="N53">
        <v>0.15</v>
      </c>
    </row>
    <row r="54" spans="1:14" x14ac:dyDescent="0.3">
      <c r="A54" s="12" t="s">
        <v>25</v>
      </c>
      <c r="B54" s="13">
        <v>0.8166917592592593</v>
      </c>
      <c r="C54" s="14">
        <v>6.57</v>
      </c>
      <c r="D54" s="14">
        <v>0.01</v>
      </c>
      <c r="E54" s="14">
        <v>0.04</v>
      </c>
      <c r="G54" s="14">
        <v>5.09</v>
      </c>
      <c r="H54" s="14">
        <v>0.14000000000000001</v>
      </c>
      <c r="J54">
        <v>4.71</v>
      </c>
      <c r="K54">
        <v>0.05</v>
      </c>
      <c r="M54">
        <v>4.8899999999999997</v>
      </c>
      <c r="N54">
        <v>0.15</v>
      </c>
    </row>
    <row r="55" spans="1:14" x14ac:dyDescent="0.3">
      <c r="A55" s="9" t="s">
        <v>25</v>
      </c>
      <c r="B55" s="10">
        <v>0.81670333333333334</v>
      </c>
      <c r="C55" s="11">
        <v>6.59</v>
      </c>
      <c r="D55" s="11">
        <v>0.01</v>
      </c>
      <c r="E55" s="11">
        <v>0.04</v>
      </c>
      <c r="G55" s="11">
        <v>4.71</v>
      </c>
      <c r="H55" s="11">
        <v>0.14000000000000001</v>
      </c>
      <c r="J55">
        <v>5.24</v>
      </c>
      <c r="K55">
        <v>0.05</v>
      </c>
      <c r="M55">
        <v>4.45</v>
      </c>
      <c r="N55">
        <v>0.15</v>
      </c>
    </row>
    <row r="56" spans="1:14" x14ac:dyDescent="0.3">
      <c r="A56" s="12" t="s">
        <v>25</v>
      </c>
      <c r="B56" s="13">
        <v>0.81671490740740738</v>
      </c>
      <c r="C56" s="14">
        <v>6.76</v>
      </c>
      <c r="D56" s="14">
        <v>0.01</v>
      </c>
      <c r="E56" s="14">
        <v>0.04</v>
      </c>
      <c r="G56" s="14">
        <v>5.0599999999999996</v>
      </c>
      <c r="H56" s="14">
        <v>0.14000000000000001</v>
      </c>
      <c r="J56">
        <v>4.6500000000000004</v>
      </c>
      <c r="K56">
        <v>0.04</v>
      </c>
      <c r="M56">
        <v>4.71</v>
      </c>
      <c r="N56">
        <v>0.15</v>
      </c>
    </row>
    <row r="57" spans="1:14" x14ac:dyDescent="0.3">
      <c r="A57" s="9" t="s">
        <v>25</v>
      </c>
      <c r="B57" s="10">
        <v>0.81672648148148153</v>
      </c>
      <c r="C57" s="11">
        <v>6.76</v>
      </c>
      <c r="D57" s="11">
        <v>0.01</v>
      </c>
      <c r="E57" s="11">
        <v>0.04</v>
      </c>
      <c r="G57" s="11">
        <v>4.7699999999999996</v>
      </c>
      <c r="H57" s="11">
        <v>0.14000000000000001</v>
      </c>
      <c r="J57">
        <v>5</v>
      </c>
      <c r="K57">
        <v>0.04</v>
      </c>
      <c r="M57">
        <v>4.59</v>
      </c>
      <c r="N57">
        <v>0.15</v>
      </c>
    </row>
    <row r="58" spans="1:14" x14ac:dyDescent="0.3">
      <c r="A58" s="12" t="s">
        <v>25</v>
      </c>
      <c r="B58" s="13">
        <v>0.81673805555555556</v>
      </c>
      <c r="C58" s="14">
        <v>6.76</v>
      </c>
      <c r="D58" s="14">
        <v>0.01</v>
      </c>
      <c r="E58" s="14">
        <v>0.04</v>
      </c>
      <c r="G58" s="14">
        <v>4.96</v>
      </c>
      <c r="H58" s="14">
        <v>0.14000000000000001</v>
      </c>
      <c r="J58">
        <v>4.63</v>
      </c>
      <c r="K58">
        <v>0.04</v>
      </c>
      <c r="M58">
        <v>4.5599999999999996</v>
      </c>
      <c r="N58">
        <v>0.15</v>
      </c>
    </row>
    <row r="59" spans="1:14" x14ac:dyDescent="0.3">
      <c r="A59" s="9" t="s">
        <v>25</v>
      </c>
      <c r="B59" s="10">
        <v>0.8167496296296296</v>
      </c>
      <c r="C59" s="11">
        <v>6.76</v>
      </c>
      <c r="D59" s="11">
        <v>0.01</v>
      </c>
      <c r="E59" s="11">
        <v>0.04</v>
      </c>
      <c r="G59" s="11">
        <v>5.01</v>
      </c>
      <c r="H59" s="11">
        <v>0.14000000000000001</v>
      </c>
      <c r="J59">
        <v>4.92</v>
      </c>
      <c r="K59">
        <v>0.04</v>
      </c>
      <c r="M59">
        <v>4.88</v>
      </c>
      <c r="N59">
        <v>0.15</v>
      </c>
    </row>
    <row r="60" spans="1:14" x14ac:dyDescent="0.3">
      <c r="A60" s="12" t="s">
        <v>25</v>
      </c>
      <c r="B60" s="13">
        <v>0.81676120370370375</v>
      </c>
      <c r="C60" s="14">
        <v>6.76</v>
      </c>
      <c r="D60" s="14">
        <v>0.01</v>
      </c>
      <c r="E60" s="14">
        <v>0.04</v>
      </c>
      <c r="G60" s="14">
        <v>4.8099999999999996</v>
      </c>
      <c r="H60" s="14">
        <v>0.14000000000000001</v>
      </c>
      <c r="J60">
        <v>4.7300000000000004</v>
      </c>
      <c r="K60">
        <v>0.05</v>
      </c>
      <c r="M60">
        <v>4.66</v>
      </c>
      <c r="N60">
        <v>0.15</v>
      </c>
    </row>
    <row r="61" spans="1:14" x14ac:dyDescent="0.3">
      <c r="A61" s="9" t="s">
        <v>25</v>
      </c>
      <c r="B61" s="10">
        <v>0.81677277777777779</v>
      </c>
      <c r="C61" s="11">
        <v>6.76</v>
      </c>
      <c r="D61" s="11">
        <v>0.01</v>
      </c>
      <c r="E61" s="11">
        <v>0.04</v>
      </c>
      <c r="G61" s="11">
        <v>5.12</v>
      </c>
      <c r="H61" s="11">
        <v>0.14000000000000001</v>
      </c>
      <c r="J61">
        <v>4.8600000000000003</v>
      </c>
      <c r="K61">
        <v>0.05</v>
      </c>
      <c r="M61">
        <v>4.84</v>
      </c>
      <c r="N61">
        <v>0.15</v>
      </c>
    </row>
    <row r="62" spans="1:14" x14ac:dyDescent="0.3">
      <c r="A62" s="12" t="s">
        <v>25</v>
      </c>
      <c r="B62" s="13">
        <v>0.81678435185185183</v>
      </c>
      <c r="C62" s="14">
        <v>6.76</v>
      </c>
      <c r="D62" s="14">
        <v>0.01</v>
      </c>
      <c r="E62" s="14">
        <v>0.04</v>
      </c>
      <c r="G62" s="14">
        <v>4.7699999999999996</v>
      </c>
      <c r="H62" s="14">
        <v>0.14000000000000001</v>
      </c>
      <c r="J62">
        <v>5.19</v>
      </c>
      <c r="K62">
        <v>0.04</v>
      </c>
      <c r="M62">
        <v>4.46</v>
      </c>
      <c r="N62">
        <v>0.15</v>
      </c>
    </row>
    <row r="63" spans="1:14" x14ac:dyDescent="0.3">
      <c r="A63" s="9" t="s">
        <v>25</v>
      </c>
      <c r="B63" s="10">
        <v>0.81679592592592598</v>
      </c>
      <c r="C63" s="11">
        <v>6.76</v>
      </c>
      <c r="D63" s="11">
        <v>0.01</v>
      </c>
      <c r="E63" s="11">
        <v>0.04</v>
      </c>
      <c r="G63" s="11">
        <v>4.99</v>
      </c>
      <c r="H63" s="11">
        <v>0.14000000000000001</v>
      </c>
      <c r="J63">
        <v>4.6399999999999997</v>
      </c>
      <c r="K63">
        <v>0.05</v>
      </c>
      <c r="M63">
        <v>4.62</v>
      </c>
      <c r="N63">
        <v>0.15</v>
      </c>
    </row>
    <row r="64" spans="1:14" x14ac:dyDescent="0.3">
      <c r="A64" s="12" t="s">
        <v>25</v>
      </c>
      <c r="B64" s="13">
        <v>0.81680750000000002</v>
      </c>
      <c r="C64" s="14">
        <v>6.76</v>
      </c>
      <c r="D64" s="14">
        <v>0.01</v>
      </c>
      <c r="E64" s="14">
        <v>0.04</v>
      </c>
      <c r="G64" s="14">
        <v>4.82</v>
      </c>
      <c r="H64" s="14">
        <v>0.14000000000000001</v>
      </c>
      <c r="J64">
        <v>5.1100000000000003</v>
      </c>
      <c r="K64">
        <v>0.05</v>
      </c>
      <c r="M64">
        <v>4.6500000000000004</v>
      </c>
      <c r="N64">
        <v>0.14000000000000001</v>
      </c>
    </row>
    <row r="65" spans="1:14" x14ac:dyDescent="0.3">
      <c r="A65" s="9" t="s">
        <v>25</v>
      </c>
      <c r="B65" s="10">
        <v>0.81681907407407406</v>
      </c>
      <c r="C65" s="11">
        <v>6.76</v>
      </c>
      <c r="D65" s="11">
        <v>0.01</v>
      </c>
      <c r="E65" s="11">
        <v>0.04</v>
      </c>
      <c r="G65" s="11">
        <v>4.88</v>
      </c>
      <c r="H65" s="11">
        <v>0.14000000000000001</v>
      </c>
      <c r="J65">
        <v>4.62</v>
      </c>
      <c r="K65">
        <v>0.05</v>
      </c>
      <c r="M65">
        <v>4.6399999999999997</v>
      </c>
      <c r="N65">
        <v>0.15</v>
      </c>
    </row>
    <row r="66" spans="1:14" x14ac:dyDescent="0.3">
      <c r="A66" s="12" t="s">
        <v>25</v>
      </c>
      <c r="B66" s="13">
        <v>0.8168306481481481</v>
      </c>
      <c r="C66" s="14">
        <v>6.76</v>
      </c>
      <c r="D66" s="14">
        <v>0.01</v>
      </c>
      <c r="E66" s="14">
        <v>0.04</v>
      </c>
      <c r="G66" s="14">
        <v>5.01</v>
      </c>
      <c r="H66" s="14">
        <v>0.14000000000000001</v>
      </c>
      <c r="J66">
        <v>5.01</v>
      </c>
      <c r="K66">
        <v>0.05</v>
      </c>
      <c r="M66">
        <v>5.1100000000000003</v>
      </c>
      <c r="N66">
        <v>0.15</v>
      </c>
    </row>
    <row r="67" spans="1:14" x14ac:dyDescent="0.3">
      <c r="A67" s="9" t="s">
        <v>25</v>
      </c>
      <c r="B67" s="10">
        <v>0.81684222222222225</v>
      </c>
      <c r="C67" s="11">
        <v>6.76</v>
      </c>
      <c r="D67" s="11">
        <v>0.01</v>
      </c>
      <c r="E67" s="11">
        <v>0.04</v>
      </c>
      <c r="G67" s="11">
        <v>4.8099999999999996</v>
      </c>
      <c r="H67" s="11">
        <v>0.14000000000000001</v>
      </c>
      <c r="J67">
        <v>4.8</v>
      </c>
      <c r="K67">
        <v>0.05</v>
      </c>
      <c r="M67">
        <v>4.3099999999999996</v>
      </c>
      <c r="N67">
        <v>0.15</v>
      </c>
    </row>
    <row r="68" spans="1:14" x14ac:dyDescent="0.3">
      <c r="A68" s="12" t="s">
        <v>25</v>
      </c>
      <c r="B68" s="13">
        <v>0.81685379629629629</v>
      </c>
      <c r="C68" s="14">
        <v>6.76</v>
      </c>
      <c r="D68" s="14">
        <v>0.01</v>
      </c>
      <c r="E68" s="14">
        <v>0.04</v>
      </c>
      <c r="G68" s="14">
        <v>5.12</v>
      </c>
      <c r="H68" s="14">
        <v>0.14000000000000001</v>
      </c>
      <c r="J68">
        <v>4.79</v>
      </c>
      <c r="K68">
        <v>0.05</v>
      </c>
      <c r="M68">
        <v>4.76</v>
      </c>
      <c r="N68">
        <v>0.15</v>
      </c>
    </row>
    <row r="69" spans="1:14" x14ac:dyDescent="0.3">
      <c r="A69" s="9" t="s">
        <v>25</v>
      </c>
      <c r="B69" s="10">
        <v>0.81686537037037033</v>
      </c>
      <c r="C69" s="11">
        <v>6.76</v>
      </c>
      <c r="D69" s="11">
        <v>0.01</v>
      </c>
      <c r="E69" s="11">
        <v>0.04</v>
      </c>
      <c r="G69" s="11">
        <v>4.7</v>
      </c>
      <c r="H69" s="11">
        <v>0.14000000000000001</v>
      </c>
      <c r="J69">
        <v>5.01</v>
      </c>
      <c r="K69">
        <v>0.04</v>
      </c>
      <c r="M69">
        <v>4.4000000000000004</v>
      </c>
      <c r="N69">
        <v>0.15</v>
      </c>
    </row>
    <row r="70" spans="1:14" x14ac:dyDescent="0.3">
      <c r="A70" s="12" t="s">
        <v>25</v>
      </c>
      <c r="B70" s="13">
        <v>0.81687694444444447</v>
      </c>
      <c r="C70" s="14">
        <v>6.76</v>
      </c>
      <c r="D70" s="14">
        <v>0.01</v>
      </c>
      <c r="E70" s="14">
        <v>0.04</v>
      </c>
      <c r="G70" s="14">
        <v>4.9800000000000004</v>
      </c>
      <c r="H70" s="14">
        <v>0.14000000000000001</v>
      </c>
      <c r="J70">
        <v>4.9000000000000004</v>
      </c>
      <c r="K70">
        <v>0.05</v>
      </c>
      <c r="M70">
        <v>4.57</v>
      </c>
      <c r="N70">
        <v>0.15</v>
      </c>
    </row>
    <row r="71" spans="1:14" x14ac:dyDescent="0.3">
      <c r="A71" s="9" t="s">
        <v>25</v>
      </c>
      <c r="B71" s="10">
        <v>0.81688851851851851</v>
      </c>
      <c r="C71" s="11">
        <v>6.76</v>
      </c>
      <c r="D71" s="11">
        <v>0.01</v>
      </c>
      <c r="E71" s="11">
        <v>0.04</v>
      </c>
      <c r="G71" s="11">
        <v>4.88</v>
      </c>
      <c r="H71" s="11">
        <v>0.14000000000000001</v>
      </c>
      <c r="J71">
        <v>5.05</v>
      </c>
      <c r="K71">
        <v>0.04</v>
      </c>
      <c r="M71">
        <v>4.66</v>
      </c>
      <c r="N71">
        <v>0.15</v>
      </c>
    </row>
    <row r="72" spans="1:14" x14ac:dyDescent="0.3">
      <c r="A72" s="12" t="s">
        <v>25</v>
      </c>
      <c r="B72" s="13">
        <v>0.81690009259259255</v>
      </c>
      <c r="C72" s="14">
        <v>6.76</v>
      </c>
      <c r="D72" s="14">
        <v>0.01</v>
      </c>
      <c r="E72" s="14">
        <v>0.04</v>
      </c>
      <c r="G72" s="14">
        <v>4.84</v>
      </c>
      <c r="H72" s="14">
        <v>0.15</v>
      </c>
      <c r="J72">
        <v>4.6900000000000004</v>
      </c>
      <c r="K72">
        <v>0.04</v>
      </c>
      <c r="M72">
        <v>4.68</v>
      </c>
      <c r="N72">
        <v>0.15</v>
      </c>
    </row>
    <row r="73" spans="1:14" x14ac:dyDescent="0.3">
      <c r="A73" s="9" t="s">
        <v>25</v>
      </c>
      <c r="B73" s="10">
        <v>0.8169116666666667</v>
      </c>
      <c r="C73" s="11">
        <v>6.76</v>
      </c>
      <c r="D73" s="11">
        <v>0.01</v>
      </c>
      <c r="E73" s="11">
        <v>0.04</v>
      </c>
      <c r="G73" s="11">
        <v>5.14</v>
      </c>
      <c r="H73" s="11">
        <v>0.15</v>
      </c>
      <c r="J73">
        <v>4.8099999999999996</v>
      </c>
      <c r="K73">
        <v>0.04</v>
      </c>
      <c r="M73">
        <v>4.9400000000000004</v>
      </c>
      <c r="N73">
        <v>0.15</v>
      </c>
    </row>
    <row r="74" spans="1:14" x14ac:dyDescent="0.3">
      <c r="A74" s="12" t="s">
        <v>25</v>
      </c>
      <c r="B74" s="13">
        <v>0.81692324074074074</v>
      </c>
      <c r="C74" s="14">
        <v>6.76</v>
      </c>
      <c r="D74" s="14">
        <v>0.01</v>
      </c>
      <c r="E74" s="14">
        <v>0.04</v>
      </c>
      <c r="G74" s="14">
        <v>4.84</v>
      </c>
      <c r="H74" s="14">
        <v>0.14000000000000001</v>
      </c>
      <c r="J74">
        <v>4.8600000000000003</v>
      </c>
      <c r="K74">
        <v>0.04</v>
      </c>
      <c r="M74">
        <v>4.3899999999999997</v>
      </c>
      <c r="N74">
        <v>0.15</v>
      </c>
    </row>
    <row r="75" spans="1:14" x14ac:dyDescent="0.3">
      <c r="A75" s="9" t="s">
        <v>25</v>
      </c>
      <c r="B75" s="10">
        <v>0.81693481481481478</v>
      </c>
      <c r="C75" s="11">
        <v>6.76</v>
      </c>
      <c r="D75" s="11">
        <v>0.01</v>
      </c>
      <c r="E75" s="11">
        <v>0.04</v>
      </c>
      <c r="G75" s="11">
        <v>5.19</v>
      </c>
      <c r="H75" s="11">
        <v>0.14000000000000001</v>
      </c>
      <c r="J75">
        <v>4.84</v>
      </c>
      <c r="K75">
        <v>0.04</v>
      </c>
      <c r="M75">
        <v>4.7300000000000004</v>
      </c>
      <c r="N75">
        <v>0.15</v>
      </c>
    </row>
    <row r="76" spans="1:14" x14ac:dyDescent="0.3">
      <c r="A76" s="12" t="s">
        <v>25</v>
      </c>
      <c r="B76" s="13">
        <v>0.81694638888888893</v>
      </c>
      <c r="C76" s="14">
        <v>6.76</v>
      </c>
      <c r="D76" s="14">
        <v>0.01</v>
      </c>
      <c r="E76" s="14">
        <v>0.04</v>
      </c>
      <c r="G76" s="14">
        <v>4.8600000000000003</v>
      </c>
      <c r="H76" s="14">
        <v>0.14000000000000001</v>
      </c>
      <c r="J76">
        <v>5.31</v>
      </c>
      <c r="K76">
        <v>0.04</v>
      </c>
      <c r="M76">
        <v>4.46</v>
      </c>
      <c r="N76">
        <v>0.15</v>
      </c>
    </row>
    <row r="77" spans="1:14" x14ac:dyDescent="0.3">
      <c r="A77" s="9" t="s">
        <v>25</v>
      </c>
      <c r="B77" s="10">
        <v>0.81695796296296297</v>
      </c>
      <c r="C77" s="11">
        <v>6.76</v>
      </c>
      <c r="D77" s="11">
        <v>0.01</v>
      </c>
      <c r="E77" s="11">
        <v>0.04</v>
      </c>
      <c r="G77" s="11">
        <v>4.99</v>
      </c>
      <c r="H77" s="11">
        <v>0.15</v>
      </c>
      <c r="J77">
        <v>4.6500000000000004</v>
      </c>
      <c r="K77">
        <v>0.05</v>
      </c>
      <c r="M77">
        <v>4.7</v>
      </c>
      <c r="N77">
        <v>0.15</v>
      </c>
    </row>
    <row r="78" spans="1:14" x14ac:dyDescent="0.3">
      <c r="A78" s="12" t="s">
        <v>25</v>
      </c>
      <c r="B78" s="13">
        <v>0.81696953703703701</v>
      </c>
      <c r="C78" s="14">
        <v>6.76</v>
      </c>
      <c r="D78" s="14">
        <v>0.01</v>
      </c>
      <c r="E78" s="14">
        <v>0.04</v>
      </c>
      <c r="G78" s="14">
        <v>5.1100000000000003</v>
      </c>
      <c r="H78" s="14">
        <v>0.14000000000000001</v>
      </c>
      <c r="J78">
        <v>4.9800000000000004</v>
      </c>
      <c r="K78">
        <v>0.05</v>
      </c>
      <c r="M78">
        <v>4.67</v>
      </c>
      <c r="N78">
        <v>0.15</v>
      </c>
    </row>
    <row r="79" spans="1:14" x14ac:dyDescent="0.3">
      <c r="A79" s="9" t="s">
        <v>25</v>
      </c>
      <c r="B79" s="10">
        <v>0.81698111111111116</v>
      </c>
      <c r="C79" s="11">
        <v>6.76</v>
      </c>
      <c r="D79" s="11">
        <v>0.01</v>
      </c>
      <c r="E79" s="11">
        <v>0.04</v>
      </c>
      <c r="G79" s="11">
        <v>4.8099999999999996</v>
      </c>
      <c r="H79" s="11">
        <v>0.14000000000000001</v>
      </c>
      <c r="J79">
        <v>4.67</v>
      </c>
      <c r="K79">
        <v>0.05</v>
      </c>
      <c r="M79">
        <v>4.5</v>
      </c>
      <c r="N79">
        <v>0.15</v>
      </c>
    </row>
    <row r="80" spans="1:14" x14ac:dyDescent="0.3">
      <c r="A80" s="12" t="s">
        <v>25</v>
      </c>
      <c r="B80" s="13">
        <v>0.8169926851851852</v>
      </c>
      <c r="C80" s="14">
        <v>6.76</v>
      </c>
      <c r="D80" s="14">
        <v>0.01</v>
      </c>
      <c r="E80" s="14">
        <v>0.04</v>
      </c>
      <c r="G80" s="14">
        <v>5.25</v>
      </c>
      <c r="H80" s="14">
        <v>0.14000000000000001</v>
      </c>
      <c r="J80">
        <v>4.82</v>
      </c>
      <c r="K80">
        <v>0.04</v>
      </c>
      <c r="M80">
        <v>4.79</v>
      </c>
      <c r="N80">
        <v>0.15</v>
      </c>
    </row>
    <row r="81" spans="1:14" x14ac:dyDescent="0.3">
      <c r="A81" s="9" t="s">
        <v>25</v>
      </c>
      <c r="B81" s="10">
        <v>0.81700425925925924</v>
      </c>
      <c r="C81" s="11">
        <v>6.76</v>
      </c>
      <c r="D81" s="11">
        <v>0.01</v>
      </c>
      <c r="E81" s="11">
        <v>0.04</v>
      </c>
      <c r="G81" s="11">
        <v>4.83</v>
      </c>
      <c r="H81" s="11">
        <v>0.14000000000000001</v>
      </c>
      <c r="J81">
        <v>4.8899999999999997</v>
      </c>
      <c r="K81">
        <v>0.05</v>
      </c>
      <c r="M81">
        <v>4.42</v>
      </c>
      <c r="N81">
        <v>0.15</v>
      </c>
    </row>
    <row r="82" spans="1:14" x14ac:dyDescent="0.3">
      <c r="A82" s="12" t="s">
        <v>25</v>
      </c>
      <c r="B82" s="13">
        <v>0.81701583333333339</v>
      </c>
      <c r="C82" s="14">
        <v>6.76</v>
      </c>
      <c r="D82" s="14">
        <v>0.01</v>
      </c>
      <c r="E82" s="14">
        <v>0.04</v>
      </c>
      <c r="G82" s="14">
        <v>5.2</v>
      </c>
      <c r="H82" s="14">
        <v>0.14000000000000001</v>
      </c>
      <c r="J82">
        <v>4.91</v>
      </c>
      <c r="K82">
        <v>0.04</v>
      </c>
      <c r="M82">
        <v>4.7300000000000004</v>
      </c>
      <c r="N82">
        <v>0.15</v>
      </c>
    </row>
    <row r="83" spans="1:14" x14ac:dyDescent="0.3">
      <c r="A83" s="9" t="s">
        <v>25</v>
      </c>
      <c r="B83" s="10">
        <v>0.81702740740740742</v>
      </c>
      <c r="C83" s="11">
        <v>6.76</v>
      </c>
      <c r="D83" s="11">
        <v>0.01</v>
      </c>
      <c r="E83" s="11">
        <v>0.04</v>
      </c>
      <c r="G83" s="11">
        <v>4.9400000000000004</v>
      </c>
      <c r="H83" s="11">
        <v>0.14000000000000001</v>
      </c>
      <c r="J83">
        <v>4.93</v>
      </c>
      <c r="K83">
        <v>0.04</v>
      </c>
      <c r="M83">
        <v>4.4800000000000004</v>
      </c>
      <c r="N83">
        <v>0.15</v>
      </c>
    </row>
    <row r="84" spans="1:14" x14ac:dyDescent="0.3">
      <c r="A84" s="12" t="s">
        <v>25</v>
      </c>
      <c r="B84" s="13">
        <v>0.81703898148148146</v>
      </c>
      <c r="C84" s="14">
        <v>6.76</v>
      </c>
      <c r="D84" s="14">
        <v>0.01</v>
      </c>
      <c r="E84" s="14">
        <v>0.04</v>
      </c>
      <c r="G84" s="14">
        <v>4.9400000000000004</v>
      </c>
      <c r="H84" s="14">
        <v>0.14000000000000001</v>
      </c>
      <c r="J84">
        <v>4.5999999999999996</v>
      </c>
      <c r="K84">
        <v>0.04</v>
      </c>
      <c r="M84">
        <v>4.59</v>
      </c>
      <c r="N84">
        <v>0.15</v>
      </c>
    </row>
    <row r="85" spans="1:14" x14ac:dyDescent="0.3">
      <c r="A85" s="9" t="s">
        <v>25</v>
      </c>
      <c r="B85" s="10">
        <v>0.8170505555555555</v>
      </c>
      <c r="C85" s="11">
        <v>6.74</v>
      </c>
      <c r="D85" s="11">
        <v>0.01</v>
      </c>
      <c r="E85" s="11">
        <v>0.04</v>
      </c>
      <c r="G85" s="11">
        <v>5.15</v>
      </c>
      <c r="H85" s="11">
        <v>0.14000000000000001</v>
      </c>
      <c r="J85">
        <v>4.82</v>
      </c>
      <c r="K85">
        <v>0.04</v>
      </c>
      <c r="M85">
        <v>4.91</v>
      </c>
      <c r="N85">
        <v>0.15</v>
      </c>
    </row>
    <row r="86" spans="1:14" x14ac:dyDescent="0.3">
      <c r="A86" s="12" t="s">
        <v>25</v>
      </c>
      <c r="B86" s="13">
        <v>0.81706212962962965</v>
      </c>
      <c r="C86" s="14">
        <v>6.61</v>
      </c>
      <c r="D86" s="14">
        <v>0.01</v>
      </c>
      <c r="E86" s="14">
        <v>0.04</v>
      </c>
      <c r="G86" s="14">
        <v>4.83</v>
      </c>
      <c r="H86" s="14">
        <v>0.14000000000000001</v>
      </c>
      <c r="J86">
        <v>4.6900000000000004</v>
      </c>
      <c r="K86">
        <v>0.04</v>
      </c>
      <c r="M86">
        <v>4.51</v>
      </c>
      <c r="N86">
        <v>0.15</v>
      </c>
    </row>
    <row r="87" spans="1:14" x14ac:dyDescent="0.3">
      <c r="A87" s="9" t="s">
        <v>25</v>
      </c>
      <c r="B87" s="10">
        <v>0.81707370370370369</v>
      </c>
      <c r="C87" s="11">
        <v>6.61</v>
      </c>
      <c r="D87" s="11">
        <v>0.01</v>
      </c>
      <c r="E87" s="11">
        <v>0.04</v>
      </c>
      <c r="G87" s="11">
        <v>5.29</v>
      </c>
      <c r="H87" s="11">
        <v>0.14000000000000001</v>
      </c>
      <c r="J87">
        <v>4.71</v>
      </c>
      <c r="K87">
        <v>0.04</v>
      </c>
      <c r="M87">
        <v>4.74</v>
      </c>
      <c r="N87">
        <v>0.15</v>
      </c>
    </row>
    <row r="88" spans="1:14" x14ac:dyDescent="0.3">
      <c r="A88" s="12" t="s">
        <v>25</v>
      </c>
      <c r="B88" s="13">
        <v>0.81708527777777773</v>
      </c>
      <c r="C88" s="14">
        <v>6.61</v>
      </c>
      <c r="D88" s="14">
        <v>0.01</v>
      </c>
      <c r="E88" s="14">
        <v>0.04</v>
      </c>
      <c r="G88" s="14">
        <v>4.83</v>
      </c>
      <c r="H88" s="14">
        <v>0.15</v>
      </c>
      <c r="J88">
        <v>4.7300000000000004</v>
      </c>
      <c r="K88">
        <v>0.05</v>
      </c>
      <c r="M88">
        <v>4.33</v>
      </c>
      <c r="N88">
        <v>0.15</v>
      </c>
    </row>
    <row r="89" spans="1:14" x14ac:dyDescent="0.3">
      <c r="A89" s="9" t="s">
        <v>25</v>
      </c>
      <c r="B89" s="10">
        <v>0.81709685185185188</v>
      </c>
      <c r="C89" s="11">
        <v>6.61</v>
      </c>
      <c r="D89" s="11">
        <v>0.01</v>
      </c>
      <c r="E89" s="11">
        <v>0.04</v>
      </c>
      <c r="G89" s="11">
        <v>5.13</v>
      </c>
      <c r="H89" s="11">
        <v>0.14000000000000001</v>
      </c>
      <c r="J89">
        <v>4.55</v>
      </c>
      <c r="K89">
        <v>0.04</v>
      </c>
      <c r="M89">
        <v>4.7300000000000004</v>
      </c>
      <c r="N89">
        <v>0.15</v>
      </c>
    </row>
    <row r="90" spans="1:14" x14ac:dyDescent="0.3">
      <c r="A90" s="12" t="s">
        <v>25</v>
      </c>
      <c r="B90" s="13">
        <v>0.81710842592592592</v>
      </c>
      <c r="C90" s="14">
        <v>6.61</v>
      </c>
      <c r="D90" s="14">
        <v>0.01</v>
      </c>
      <c r="E90" s="14">
        <v>0.04</v>
      </c>
      <c r="G90" s="14">
        <v>4.99</v>
      </c>
      <c r="H90" s="14">
        <v>0.15</v>
      </c>
      <c r="J90">
        <v>4.6100000000000003</v>
      </c>
      <c r="K90">
        <v>0.04</v>
      </c>
      <c r="M90">
        <v>4.53</v>
      </c>
      <c r="N90">
        <v>0.15</v>
      </c>
    </row>
    <row r="91" spans="1:14" x14ac:dyDescent="0.3">
      <c r="A91" s="9" t="s">
        <v>25</v>
      </c>
      <c r="B91" s="10">
        <v>0.81711999999999996</v>
      </c>
      <c r="C91" s="11">
        <v>6.58</v>
      </c>
      <c r="D91" s="11">
        <v>0.01</v>
      </c>
      <c r="E91" s="11">
        <v>0.04</v>
      </c>
      <c r="G91" s="11">
        <v>4.9000000000000004</v>
      </c>
      <c r="H91" s="11">
        <v>0.14000000000000001</v>
      </c>
      <c r="J91">
        <v>4.41</v>
      </c>
      <c r="K91">
        <v>0.04</v>
      </c>
      <c r="M91">
        <v>4.63</v>
      </c>
      <c r="N91">
        <v>0.15</v>
      </c>
    </row>
    <row r="92" spans="1:14" x14ac:dyDescent="0.3">
      <c r="A92" s="12" t="s">
        <v>25</v>
      </c>
      <c r="B92" s="13">
        <v>0.81713157407407411</v>
      </c>
      <c r="C92" s="14">
        <v>6.58</v>
      </c>
      <c r="D92" s="14">
        <v>0.01</v>
      </c>
      <c r="E92" s="14">
        <v>0.04</v>
      </c>
      <c r="G92" s="14">
        <v>5.21</v>
      </c>
      <c r="H92" s="14">
        <v>0.14000000000000001</v>
      </c>
      <c r="J92">
        <v>4.53</v>
      </c>
      <c r="K92">
        <v>0.05</v>
      </c>
      <c r="M92">
        <v>4.92</v>
      </c>
      <c r="N92">
        <v>0.15</v>
      </c>
    </row>
    <row r="93" spans="1:14" x14ac:dyDescent="0.3">
      <c r="A93" s="9" t="s">
        <v>25</v>
      </c>
      <c r="B93" s="10">
        <v>0.81714314814814815</v>
      </c>
      <c r="C93" s="11">
        <v>6.58</v>
      </c>
      <c r="D93" s="11">
        <v>0.01</v>
      </c>
      <c r="E93" s="11">
        <v>0.04</v>
      </c>
      <c r="G93" s="11">
        <v>4.83</v>
      </c>
      <c r="H93" s="11">
        <v>0.14000000000000001</v>
      </c>
      <c r="J93">
        <v>4.51</v>
      </c>
      <c r="K93">
        <v>0.05</v>
      </c>
      <c r="M93">
        <v>4.49</v>
      </c>
      <c r="N93">
        <v>0.15</v>
      </c>
    </row>
    <row r="94" spans="1:14" x14ac:dyDescent="0.3">
      <c r="A94" s="12" t="s">
        <v>25</v>
      </c>
      <c r="B94" s="13">
        <v>0.81715472222222219</v>
      </c>
      <c r="C94" s="14">
        <v>6.58</v>
      </c>
      <c r="D94" s="14">
        <v>0.01</v>
      </c>
      <c r="E94" s="14">
        <v>0.04</v>
      </c>
      <c r="G94" s="14">
        <v>5.29</v>
      </c>
      <c r="H94" s="14">
        <v>0.14000000000000001</v>
      </c>
      <c r="J94">
        <v>4.4400000000000004</v>
      </c>
      <c r="K94">
        <v>0.05</v>
      </c>
      <c r="M94">
        <v>4.79</v>
      </c>
      <c r="N94">
        <v>0.15</v>
      </c>
    </row>
    <row r="95" spans="1:14" x14ac:dyDescent="0.3">
      <c r="A95" s="9" t="s">
        <v>25</v>
      </c>
      <c r="B95" s="10">
        <v>0.81716629629629634</v>
      </c>
      <c r="C95" s="11">
        <v>6.47</v>
      </c>
      <c r="D95" s="11">
        <v>0.01</v>
      </c>
      <c r="E95" s="11">
        <v>0.04</v>
      </c>
      <c r="G95" s="11">
        <v>4.87</v>
      </c>
      <c r="H95" s="11">
        <v>0.14000000000000001</v>
      </c>
      <c r="J95">
        <v>4.6500000000000004</v>
      </c>
      <c r="K95">
        <v>0.05</v>
      </c>
      <c r="M95">
        <v>4.45</v>
      </c>
      <c r="N95">
        <v>0.15</v>
      </c>
    </row>
    <row r="96" spans="1:14" x14ac:dyDescent="0.3">
      <c r="A96" s="12" t="s">
        <v>25</v>
      </c>
      <c r="B96" s="13">
        <v>0.81717787037037037</v>
      </c>
      <c r="C96" s="14">
        <v>5.73</v>
      </c>
      <c r="D96" s="14">
        <v>0.01</v>
      </c>
      <c r="E96" s="14">
        <v>0.04</v>
      </c>
      <c r="G96" s="14">
        <v>5.0999999999999996</v>
      </c>
      <c r="H96" s="14">
        <v>0.14000000000000001</v>
      </c>
      <c r="J96">
        <v>4.32</v>
      </c>
      <c r="K96">
        <v>0.05</v>
      </c>
      <c r="M96">
        <v>4.75</v>
      </c>
      <c r="N96">
        <v>0.15</v>
      </c>
    </row>
    <row r="97" spans="1:14" x14ac:dyDescent="0.3">
      <c r="A97" s="9" t="s">
        <v>25</v>
      </c>
      <c r="B97" s="10">
        <v>0.81718944444444441</v>
      </c>
      <c r="C97" s="11">
        <v>5.73</v>
      </c>
      <c r="D97" s="11">
        <v>0.01</v>
      </c>
      <c r="E97" s="11">
        <v>0.04</v>
      </c>
      <c r="G97" s="11">
        <v>5.0199999999999996</v>
      </c>
      <c r="H97" s="11">
        <v>0.14000000000000001</v>
      </c>
      <c r="J97">
        <v>4.8600000000000003</v>
      </c>
      <c r="K97">
        <v>0.05</v>
      </c>
      <c r="M97">
        <v>4.59</v>
      </c>
      <c r="N97">
        <v>0.15</v>
      </c>
    </row>
    <row r="98" spans="1:14" x14ac:dyDescent="0.3">
      <c r="A98" s="12" t="s">
        <v>25</v>
      </c>
      <c r="B98" s="13">
        <v>0.81720101851851856</v>
      </c>
      <c r="C98" s="14">
        <v>5.73</v>
      </c>
      <c r="D98" s="14">
        <v>0.01</v>
      </c>
      <c r="E98" s="14">
        <v>0.04</v>
      </c>
      <c r="G98" s="14">
        <v>4.8600000000000003</v>
      </c>
      <c r="H98" s="14">
        <v>0.14000000000000001</v>
      </c>
      <c r="J98">
        <v>4.4000000000000004</v>
      </c>
      <c r="K98">
        <v>0.04</v>
      </c>
      <c r="M98">
        <v>4.53</v>
      </c>
      <c r="N98">
        <v>0.15</v>
      </c>
    </row>
    <row r="99" spans="1:14" x14ac:dyDescent="0.3">
      <c r="A99" s="9" t="s">
        <v>25</v>
      </c>
      <c r="B99" s="10">
        <v>0.8172125925925926</v>
      </c>
      <c r="C99" s="11">
        <v>5.73</v>
      </c>
      <c r="D99" s="11">
        <v>0.01</v>
      </c>
      <c r="E99" s="11">
        <v>0.04</v>
      </c>
      <c r="G99" s="11">
        <v>5.24</v>
      </c>
      <c r="H99" s="11">
        <v>0.14000000000000001</v>
      </c>
      <c r="J99">
        <v>4.45</v>
      </c>
      <c r="K99">
        <v>0.04</v>
      </c>
      <c r="M99">
        <v>4.9000000000000004</v>
      </c>
      <c r="N99">
        <v>0.15</v>
      </c>
    </row>
    <row r="100" spans="1:14" x14ac:dyDescent="0.3">
      <c r="A100" s="12" t="s">
        <v>25</v>
      </c>
      <c r="B100" s="13">
        <v>0.81722416666666664</v>
      </c>
      <c r="C100" s="14">
        <v>5.63</v>
      </c>
      <c r="D100" s="14">
        <v>0.01</v>
      </c>
      <c r="E100" s="14">
        <v>0.04</v>
      </c>
      <c r="G100" s="14">
        <v>4.8499999999999996</v>
      </c>
      <c r="H100" s="14">
        <v>0.14000000000000001</v>
      </c>
      <c r="J100">
        <v>4.5599999999999996</v>
      </c>
      <c r="K100">
        <v>0.05</v>
      </c>
      <c r="M100">
        <v>4.5</v>
      </c>
      <c r="N100">
        <v>0.15</v>
      </c>
    </row>
    <row r="101" spans="1:14" x14ac:dyDescent="0.3">
      <c r="A101" s="9" t="s">
        <v>25</v>
      </c>
      <c r="B101" s="10">
        <v>0.81723574074074079</v>
      </c>
      <c r="C101" s="11">
        <v>4.9800000000000004</v>
      </c>
      <c r="D101" s="11">
        <v>0.01</v>
      </c>
      <c r="E101" s="11">
        <v>0.04</v>
      </c>
      <c r="G101" s="11">
        <v>5.24</v>
      </c>
      <c r="H101" s="11">
        <v>0.14000000000000001</v>
      </c>
      <c r="J101">
        <v>4.3899999999999997</v>
      </c>
      <c r="K101">
        <v>0.05</v>
      </c>
      <c r="M101">
        <v>4.82</v>
      </c>
      <c r="N101">
        <v>0.15</v>
      </c>
    </row>
    <row r="102" spans="1:14" x14ac:dyDescent="0.3">
      <c r="A102" s="12" t="s">
        <v>25</v>
      </c>
      <c r="B102" s="13">
        <v>0.81724731481481483</v>
      </c>
      <c r="C102" s="14">
        <v>4.9800000000000004</v>
      </c>
      <c r="D102" s="14">
        <v>0.01</v>
      </c>
      <c r="E102" s="14">
        <v>0.04</v>
      </c>
      <c r="G102" s="14">
        <v>4.8899999999999997</v>
      </c>
      <c r="H102" s="14">
        <v>0.14000000000000001</v>
      </c>
      <c r="J102">
        <v>4.6399999999999997</v>
      </c>
      <c r="K102">
        <v>0.05</v>
      </c>
      <c r="M102">
        <v>4.4400000000000004</v>
      </c>
      <c r="N102">
        <v>0.15</v>
      </c>
    </row>
    <row r="103" spans="1:14" x14ac:dyDescent="0.3">
      <c r="A103" s="9" t="s">
        <v>25</v>
      </c>
      <c r="B103" s="10">
        <v>0.81725888888888887</v>
      </c>
      <c r="C103" s="11">
        <v>4.9800000000000004</v>
      </c>
      <c r="D103" s="11">
        <v>0.01</v>
      </c>
      <c r="E103" s="11">
        <v>0.04</v>
      </c>
      <c r="G103" s="11">
        <v>5.04</v>
      </c>
      <c r="H103" s="11">
        <v>0.14000000000000001</v>
      </c>
      <c r="J103">
        <v>4.38</v>
      </c>
      <c r="K103">
        <v>0.05</v>
      </c>
      <c r="M103">
        <v>4.6399999999999997</v>
      </c>
      <c r="N103">
        <v>0.15</v>
      </c>
    </row>
    <row r="104" spans="1:14" x14ac:dyDescent="0.3">
      <c r="A104" s="12" t="s">
        <v>25</v>
      </c>
      <c r="B104" s="13">
        <v>0.81727046296296302</v>
      </c>
      <c r="C104" s="14">
        <v>4.97</v>
      </c>
      <c r="D104" s="14">
        <v>0.01</v>
      </c>
      <c r="E104" s="14">
        <v>0.04</v>
      </c>
      <c r="G104" s="14">
        <v>5.1100000000000003</v>
      </c>
      <c r="H104" s="14">
        <v>0.14000000000000001</v>
      </c>
      <c r="J104">
        <v>4.58</v>
      </c>
      <c r="K104">
        <v>0.05</v>
      </c>
      <c r="M104">
        <v>4.62</v>
      </c>
      <c r="N104">
        <v>0.15</v>
      </c>
    </row>
    <row r="105" spans="1:14" x14ac:dyDescent="0.3">
      <c r="A105" s="9" t="s">
        <v>25</v>
      </c>
      <c r="B105" s="10">
        <v>0.81728203703703706</v>
      </c>
      <c r="C105" s="11">
        <v>4.88</v>
      </c>
      <c r="D105" s="11">
        <v>0.01</v>
      </c>
      <c r="E105" s="11">
        <v>0.04</v>
      </c>
      <c r="G105" s="11">
        <v>4.8499999999999996</v>
      </c>
      <c r="H105" s="11">
        <v>0.14000000000000001</v>
      </c>
      <c r="J105">
        <v>4.42</v>
      </c>
      <c r="K105">
        <v>0.04</v>
      </c>
      <c r="M105">
        <v>4.53</v>
      </c>
      <c r="N105">
        <v>0.15</v>
      </c>
    </row>
    <row r="106" spans="1:14" x14ac:dyDescent="0.3">
      <c r="A106" s="12" t="s">
        <v>25</v>
      </c>
      <c r="B106" s="13">
        <v>0.8172936111111111</v>
      </c>
      <c r="C106" s="14">
        <v>4.32</v>
      </c>
      <c r="D106" s="14">
        <v>0.01</v>
      </c>
      <c r="E106" s="14">
        <v>0.04</v>
      </c>
      <c r="G106" s="14">
        <v>5.26</v>
      </c>
      <c r="H106" s="14">
        <v>0.14000000000000001</v>
      </c>
      <c r="J106">
        <v>4.8099999999999996</v>
      </c>
      <c r="K106">
        <v>0.04</v>
      </c>
      <c r="M106">
        <v>4.95</v>
      </c>
      <c r="N106">
        <v>0.15</v>
      </c>
    </row>
    <row r="107" spans="1:14" x14ac:dyDescent="0.3">
      <c r="A107" s="9" t="s">
        <v>25</v>
      </c>
      <c r="B107" s="10">
        <v>0.81730518518518513</v>
      </c>
      <c r="C107" s="11">
        <v>4.3499999999999996</v>
      </c>
      <c r="D107" s="11">
        <v>0.01</v>
      </c>
      <c r="E107" s="11">
        <v>0.04</v>
      </c>
      <c r="G107" s="11">
        <v>4.8499999999999996</v>
      </c>
      <c r="H107" s="11">
        <v>0.14000000000000001</v>
      </c>
      <c r="J107">
        <v>4.88</v>
      </c>
      <c r="K107">
        <v>0.05</v>
      </c>
      <c r="M107">
        <v>4.41</v>
      </c>
      <c r="N107">
        <v>0.15</v>
      </c>
    </row>
    <row r="108" spans="1:14" x14ac:dyDescent="0.3">
      <c r="A108" s="12" t="s">
        <v>25</v>
      </c>
      <c r="B108" s="13">
        <v>0.81731675925925928</v>
      </c>
      <c r="C108" s="14">
        <v>4.3499999999999996</v>
      </c>
      <c r="D108" s="14">
        <v>0.01</v>
      </c>
      <c r="E108" s="14">
        <v>0.04</v>
      </c>
      <c r="G108" s="14">
        <v>5.23</v>
      </c>
      <c r="H108" s="14">
        <v>0.14000000000000001</v>
      </c>
      <c r="J108">
        <v>4.7300000000000004</v>
      </c>
      <c r="K108">
        <v>0.05</v>
      </c>
      <c r="M108">
        <v>4.68</v>
      </c>
      <c r="N108">
        <v>0.15</v>
      </c>
    </row>
    <row r="109" spans="1:14" x14ac:dyDescent="0.3">
      <c r="A109" s="9" t="s">
        <v>25</v>
      </c>
      <c r="B109" s="10">
        <v>0.81732833333333332</v>
      </c>
      <c r="C109" s="11">
        <v>4.34</v>
      </c>
      <c r="D109" s="11">
        <v>0.01</v>
      </c>
      <c r="E109" s="11">
        <v>0.04</v>
      </c>
      <c r="G109" s="11">
        <v>4.93</v>
      </c>
      <c r="H109" s="11">
        <v>0.14000000000000001</v>
      </c>
      <c r="J109">
        <v>4.96</v>
      </c>
      <c r="K109">
        <v>0.04</v>
      </c>
      <c r="M109">
        <v>4.4400000000000004</v>
      </c>
      <c r="N109">
        <v>0.15</v>
      </c>
    </row>
    <row r="110" spans="1:14" x14ac:dyDescent="0.3">
      <c r="A110" s="12" t="s">
        <v>25</v>
      </c>
      <c r="B110" s="13">
        <v>0.81733990740740736</v>
      </c>
      <c r="C110" s="14">
        <v>4.34</v>
      </c>
      <c r="D110" s="14">
        <v>0.01</v>
      </c>
      <c r="E110" s="14">
        <v>0.04</v>
      </c>
      <c r="G110" s="14">
        <v>5</v>
      </c>
      <c r="H110" s="14">
        <v>0.14000000000000001</v>
      </c>
      <c r="J110">
        <v>4.7</v>
      </c>
      <c r="K110">
        <v>0.04</v>
      </c>
      <c r="M110">
        <v>4.49</v>
      </c>
      <c r="N110">
        <v>0.15</v>
      </c>
    </row>
    <row r="111" spans="1:14" x14ac:dyDescent="0.3">
      <c r="A111" s="9" t="s">
        <v>25</v>
      </c>
      <c r="B111" s="10">
        <v>0.81735148148148151</v>
      </c>
      <c r="C111" s="11">
        <v>4.33</v>
      </c>
      <c r="D111" s="11">
        <v>0.01</v>
      </c>
      <c r="E111" s="11">
        <v>0.04</v>
      </c>
      <c r="G111" s="11">
        <v>5.12</v>
      </c>
      <c r="H111" s="11">
        <v>0.14000000000000001</v>
      </c>
      <c r="J111">
        <v>4.95</v>
      </c>
      <c r="K111">
        <v>0.05</v>
      </c>
      <c r="M111">
        <v>4.68</v>
      </c>
      <c r="N111">
        <v>0.15</v>
      </c>
    </row>
    <row r="112" spans="1:14" x14ac:dyDescent="0.3">
      <c r="A112" s="5"/>
      <c r="B112" s="6"/>
      <c r="G112" s="14">
        <v>4.82</v>
      </c>
      <c r="H112" s="14">
        <v>0.14000000000000001</v>
      </c>
      <c r="J112">
        <v>4.74</v>
      </c>
      <c r="K112">
        <v>0.05</v>
      </c>
      <c r="M112">
        <v>4.3600000000000003</v>
      </c>
      <c r="N112">
        <v>0.15</v>
      </c>
    </row>
    <row r="113" spans="1:14" x14ac:dyDescent="0.3">
      <c r="A113" s="5"/>
      <c r="B113" s="6"/>
      <c r="G113" s="11">
        <v>5.27</v>
      </c>
      <c r="H113" s="11">
        <v>0.14000000000000001</v>
      </c>
      <c r="J113">
        <v>4.8499999999999996</v>
      </c>
      <c r="K113">
        <v>0.04</v>
      </c>
      <c r="M113">
        <v>4.72</v>
      </c>
      <c r="N113">
        <v>0.15</v>
      </c>
    </row>
    <row r="114" spans="1:14" x14ac:dyDescent="0.3">
      <c r="A114" s="5"/>
      <c r="B114" s="6"/>
      <c r="G114" s="14">
        <v>4.87</v>
      </c>
      <c r="H114" s="14">
        <v>0.14000000000000001</v>
      </c>
      <c r="J114">
        <v>4.95</v>
      </c>
      <c r="K114">
        <v>0.04</v>
      </c>
      <c r="M114">
        <v>4.29</v>
      </c>
      <c r="N114">
        <v>0.15</v>
      </c>
    </row>
    <row r="115" spans="1:14" x14ac:dyDescent="0.3">
      <c r="A115" s="5"/>
      <c r="B115" s="6"/>
      <c r="G115" s="11">
        <v>5.17</v>
      </c>
      <c r="H115" s="11">
        <v>0.15</v>
      </c>
      <c r="J115">
        <v>4.28</v>
      </c>
      <c r="K115">
        <v>0.04</v>
      </c>
      <c r="M115">
        <v>4.3600000000000003</v>
      </c>
      <c r="N115">
        <v>0.15</v>
      </c>
    </row>
    <row r="116" spans="1:14" x14ac:dyDescent="0.3">
      <c r="A116" s="5"/>
      <c r="B116" s="6"/>
      <c r="G116" s="14">
        <v>4.99</v>
      </c>
      <c r="H116" s="14">
        <v>0.14000000000000001</v>
      </c>
      <c r="J116">
        <v>4.88</v>
      </c>
      <c r="K116">
        <v>0.04</v>
      </c>
      <c r="M116">
        <v>4.41</v>
      </c>
      <c r="N116">
        <v>0.15</v>
      </c>
    </row>
    <row r="117" spans="1:14" x14ac:dyDescent="0.3">
      <c r="A117" s="5"/>
      <c r="B117" s="6"/>
      <c r="J117">
        <v>4.71</v>
      </c>
      <c r="K117">
        <v>0.04</v>
      </c>
      <c r="M117">
        <v>4.24</v>
      </c>
      <c r="N117">
        <v>0.15</v>
      </c>
    </row>
    <row r="118" spans="1:14" x14ac:dyDescent="0.3">
      <c r="A118" s="5"/>
      <c r="B118" s="6"/>
      <c r="J118">
        <v>4.88</v>
      </c>
      <c r="K118">
        <v>0.04</v>
      </c>
      <c r="M118">
        <v>4.53</v>
      </c>
      <c r="N118">
        <v>0.15</v>
      </c>
    </row>
    <row r="119" spans="1:14" x14ac:dyDescent="0.3">
      <c r="A119" s="5"/>
      <c r="B119" s="6"/>
      <c r="J119">
        <v>4.8</v>
      </c>
      <c r="K119">
        <v>0.05</v>
      </c>
      <c r="M119">
        <v>4.21</v>
      </c>
      <c r="N119">
        <v>0.15</v>
      </c>
    </row>
    <row r="120" spans="1:14" x14ac:dyDescent="0.3">
      <c r="A120" s="5"/>
      <c r="B120" s="6"/>
      <c r="J120">
        <v>4.78</v>
      </c>
      <c r="K120">
        <v>0.05</v>
      </c>
      <c r="M120">
        <v>4.4800000000000004</v>
      </c>
      <c r="N120">
        <v>0.15</v>
      </c>
    </row>
    <row r="121" spans="1:14" x14ac:dyDescent="0.3">
      <c r="A121" s="5"/>
      <c r="B121" s="6"/>
      <c r="J121">
        <v>4.97</v>
      </c>
      <c r="K121">
        <v>0.04</v>
      </c>
    </row>
    <row r="122" spans="1:14" x14ac:dyDescent="0.3">
      <c r="A122" s="5"/>
      <c r="B122" s="6"/>
      <c r="J122">
        <v>4.71</v>
      </c>
      <c r="K122">
        <v>0.05</v>
      </c>
    </row>
    <row r="123" spans="1:14" x14ac:dyDescent="0.3">
      <c r="A123" s="5"/>
      <c r="B123" s="6"/>
      <c r="J123">
        <v>5.12</v>
      </c>
      <c r="K123">
        <v>0.05</v>
      </c>
    </row>
    <row r="124" spans="1:14" x14ac:dyDescent="0.3">
      <c r="A124" s="5"/>
      <c r="B124" s="6"/>
      <c r="J124">
        <v>4.8</v>
      </c>
      <c r="K124">
        <v>0.05</v>
      </c>
    </row>
    <row r="125" spans="1:14" x14ac:dyDescent="0.3">
      <c r="A125" s="5"/>
      <c r="B125" s="6"/>
      <c r="J125">
        <v>4.95</v>
      </c>
      <c r="K125">
        <v>0.04</v>
      </c>
    </row>
    <row r="126" spans="1:14" x14ac:dyDescent="0.3">
      <c r="A126" s="5"/>
      <c r="B126" s="6"/>
      <c r="J126">
        <v>4.96</v>
      </c>
      <c r="K126">
        <v>0.04</v>
      </c>
    </row>
    <row r="127" spans="1:14" x14ac:dyDescent="0.3">
      <c r="A127" s="5"/>
      <c r="B127" s="6"/>
      <c r="J127">
        <v>4.8099999999999996</v>
      </c>
      <c r="K127">
        <v>0.04</v>
      </c>
    </row>
    <row r="128" spans="1:14" x14ac:dyDescent="0.3">
      <c r="A128" s="5"/>
      <c r="B128" s="6"/>
      <c r="J128">
        <v>5.25</v>
      </c>
      <c r="K128">
        <v>0.05</v>
      </c>
    </row>
    <row r="129" spans="1:11" x14ac:dyDescent="0.3">
      <c r="A129" s="5"/>
      <c r="B129" s="6"/>
      <c r="J129">
        <v>4.79</v>
      </c>
      <c r="K129">
        <v>0.04</v>
      </c>
    </row>
    <row r="130" spans="1:11" x14ac:dyDescent="0.3">
      <c r="A130" s="5"/>
      <c r="B130" s="6"/>
      <c r="J130">
        <v>5.63</v>
      </c>
      <c r="K130">
        <v>0.05</v>
      </c>
    </row>
    <row r="131" spans="1:11" x14ac:dyDescent="0.3">
      <c r="A131" s="5"/>
      <c r="B131" s="6"/>
      <c r="J131">
        <v>5.82</v>
      </c>
      <c r="K131">
        <v>0.05</v>
      </c>
    </row>
    <row r="132" spans="1:11" x14ac:dyDescent="0.3">
      <c r="A132" s="5"/>
      <c r="B132" s="6"/>
      <c r="J132">
        <v>5.82</v>
      </c>
      <c r="K132">
        <v>0.04</v>
      </c>
    </row>
    <row r="133" spans="1:11" x14ac:dyDescent="0.3">
      <c r="A133" s="5"/>
      <c r="B133" s="6"/>
      <c r="J133">
        <v>6.07</v>
      </c>
      <c r="K133">
        <v>0.05</v>
      </c>
    </row>
    <row r="134" spans="1:11" x14ac:dyDescent="0.3">
      <c r="A134" s="5"/>
      <c r="B134" s="6"/>
      <c r="J134">
        <v>6.07</v>
      </c>
      <c r="K134">
        <v>0.05</v>
      </c>
    </row>
    <row r="135" spans="1:11" x14ac:dyDescent="0.3">
      <c r="A135" s="5"/>
      <c r="B135" s="6"/>
      <c r="J135">
        <v>6.07</v>
      </c>
      <c r="K135">
        <v>0.05</v>
      </c>
    </row>
    <row r="136" spans="1:11" x14ac:dyDescent="0.3">
      <c r="A136" s="5"/>
      <c r="B136" s="6"/>
      <c r="J136">
        <v>6.07</v>
      </c>
      <c r="K136">
        <v>0.05</v>
      </c>
    </row>
    <row r="137" spans="1:11" x14ac:dyDescent="0.3">
      <c r="A137" s="5"/>
      <c r="B137" s="6"/>
      <c r="J137">
        <v>6.07</v>
      </c>
      <c r="K137">
        <v>0.05</v>
      </c>
    </row>
    <row r="138" spans="1:11" x14ac:dyDescent="0.3">
      <c r="A138" s="5"/>
      <c r="B138" s="6"/>
      <c r="J138">
        <v>6.21</v>
      </c>
      <c r="K138">
        <v>0.04</v>
      </c>
    </row>
    <row r="139" spans="1:11" x14ac:dyDescent="0.3">
      <c r="A139" s="5"/>
      <c r="B139" s="6"/>
      <c r="J139">
        <v>6.21</v>
      </c>
      <c r="K139">
        <v>0.04</v>
      </c>
    </row>
    <row r="140" spans="1:11" x14ac:dyDescent="0.3">
      <c r="A140" s="5"/>
      <c r="B140" s="6"/>
      <c r="J140">
        <v>6.21</v>
      </c>
      <c r="K140">
        <v>0.04</v>
      </c>
    </row>
    <row r="141" spans="1:11" x14ac:dyDescent="0.3">
      <c r="A141" s="5"/>
      <c r="B141" s="6"/>
      <c r="J141">
        <v>6.21</v>
      </c>
      <c r="K141">
        <v>0.05</v>
      </c>
    </row>
    <row r="142" spans="1:11" x14ac:dyDescent="0.3">
      <c r="A142" s="5"/>
      <c r="B142" s="6"/>
      <c r="J142">
        <v>6.22</v>
      </c>
      <c r="K142">
        <v>0.05</v>
      </c>
    </row>
    <row r="143" spans="1:11" x14ac:dyDescent="0.3">
      <c r="A143" s="5"/>
      <c r="B143" s="6"/>
      <c r="J143">
        <v>6.31</v>
      </c>
      <c r="K143">
        <v>0.05</v>
      </c>
    </row>
    <row r="144" spans="1:11" x14ac:dyDescent="0.3">
      <c r="A144" s="5"/>
      <c r="B144" s="6"/>
      <c r="J144">
        <v>6.31</v>
      </c>
      <c r="K144">
        <v>0.05</v>
      </c>
    </row>
    <row r="145" spans="1:11" x14ac:dyDescent="0.3">
      <c r="A145" s="5"/>
      <c r="B145" s="6"/>
      <c r="J145">
        <v>6.31</v>
      </c>
      <c r="K145">
        <v>0.05</v>
      </c>
    </row>
    <row r="146" spans="1:11" x14ac:dyDescent="0.3">
      <c r="A146" s="5"/>
      <c r="B146" s="6"/>
      <c r="J146">
        <v>6.31</v>
      </c>
      <c r="K146">
        <v>0.04</v>
      </c>
    </row>
    <row r="147" spans="1:11" x14ac:dyDescent="0.3">
      <c r="A147" s="5"/>
      <c r="B147" s="6"/>
      <c r="J147">
        <v>6.34</v>
      </c>
      <c r="K147">
        <v>0.04</v>
      </c>
    </row>
    <row r="148" spans="1:11" x14ac:dyDescent="0.3">
      <c r="A148" s="5"/>
      <c r="B148" s="6"/>
      <c r="J148">
        <v>6.47</v>
      </c>
      <c r="K148">
        <v>0.04</v>
      </c>
    </row>
    <row r="149" spans="1:11" x14ac:dyDescent="0.3">
      <c r="A149" s="5"/>
      <c r="B149" s="6"/>
      <c r="J149">
        <v>6.47</v>
      </c>
      <c r="K149">
        <v>0.04</v>
      </c>
    </row>
    <row r="150" spans="1:11" x14ac:dyDescent="0.3">
      <c r="A150" s="5"/>
      <c r="B150" s="6"/>
      <c r="J150">
        <v>6.47</v>
      </c>
      <c r="K150">
        <v>0.04</v>
      </c>
    </row>
    <row r="151" spans="1:11" x14ac:dyDescent="0.3">
      <c r="A151" s="5"/>
      <c r="B151" s="6"/>
      <c r="J151">
        <v>6.47</v>
      </c>
      <c r="K151">
        <v>0.04</v>
      </c>
    </row>
    <row r="152" spans="1:11" x14ac:dyDescent="0.3">
      <c r="A152" s="5"/>
      <c r="B152" s="6"/>
      <c r="J152">
        <v>6.5</v>
      </c>
      <c r="K152">
        <v>0.04</v>
      </c>
    </row>
    <row r="153" spans="1:11" x14ac:dyDescent="0.3">
      <c r="A153" s="5"/>
      <c r="B153" s="6"/>
      <c r="J153">
        <v>6.61</v>
      </c>
      <c r="K153">
        <v>0.04</v>
      </c>
    </row>
    <row r="154" spans="1:11" x14ac:dyDescent="0.3">
      <c r="A154" s="5"/>
      <c r="B154" s="6"/>
    </row>
    <row r="155" spans="1:11" x14ac:dyDescent="0.3">
      <c r="A155" s="5"/>
      <c r="B155" s="6"/>
    </row>
    <row r="156" spans="1:11" x14ac:dyDescent="0.3">
      <c r="A156" s="5"/>
      <c r="B156" s="6"/>
    </row>
    <row r="157" spans="1:11" x14ac:dyDescent="0.3">
      <c r="A157" s="5"/>
      <c r="B157" s="6"/>
    </row>
    <row r="158" spans="1:11" x14ac:dyDescent="0.3">
      <c r="A158" s="5"/>
      <c r="B158" s="6"/>
    </row>
    <row r="159" spans="1:11" x14ac:dyDescent="0.3">
      <c r="A159" s="5"/>
      <c r="B159" s="6"/>
    </row>
    <row r="160" spans="1:11" x14ac:dyDescent="0.3">
      <c r="A160" s="5"/>
      <c r="B160" s="6"/>
    </row>
    <row r="161" spans="1:2" x14ac:dyDescent="0.3">
      <c r="A161" s="5"/>
      <c r="B161" s="6"/>
    </row>
    <row r="162" spans="1:2" x14ac:dyDescent="0.3">
      <c r="A162" s="5"/>
      <c r="B162" s="6"/>
    </row>
    <row r="163" spans="1:2" x14ac:dyDescent="0.3">
      <c r="A163" s="5"/>
      <c r="B163" s="6"/>
    </row>
    <row r="164" spans="1:2" x14ac:dyDescent="0.3">
      <c r="A164" s="5"/>
      <c r="B164" s="6"/>
    </row>
    <row r="165" spans="1:2" x14ac:dyDescent="0.3">
      <c r="A165" s="5"/>
      <c r="B165" s="6"/>
    </row>
    <row r="166" spans="1:2" x14ac:dyDescent="0.3">
      <c r="A166" s="5"/>
      <c r="B166" s="6"/>
    </row>
    <row r="167" spans="1:2" x14ac:dyDescent="0.3">
      <c r="A167" s="5"/>
      <c r="B167" s="6"/>
    </row>
    <row r="168" spans="1:2" x14ac:dyDescent="0.3">
      <c r="A168" s="5"/>
      <c r="B168" s="6"/>
    </row>
    <row r="169" spans="1:2" x14ac:dyDescent="0.3">
      <c r="A169" s="5"/>
      <c r="B169" s="6"/>
    </row>
    <row r="170" spans="1:2" x14ac:dyDescent="0.3">
      <c r="A170" s="5"/>
      <c r="B170" s="6"/>
    </row>
    <row r="171" spans="1:2" x14ac:dyDescent="0.3">
      <c r="A171" s="5"/>
      <c r="B171" s="6"/>
    </row>
    <row r="172" spans="1:2" x14ac:dyDescent="0.3">
      <c r="A172" s="5"/>
      <c r="B172" s="6"/>
    </row>
    <row r="173" spans="1:2" x14ac:dyDescent="0.3">
      <c r="A173" s="5"/>
      <c r="B173" s="6"/>
    </row>
    <row r="174" spans="1:2" x14ac:dyDescent="0.3">
      <c r="A174" s="5"/>
      <c r="B174" s="6"/>
    </row>
    <row r="175" spans="1:2" x14ac:dyDescent="0.3">
      <c r="A175" s="5"/>
      <c r="B175" s="6"/>
    </row>
    <row r="176" spans="1:2" x14ac:dyDescent="0.3">
      <c r="A176" s="5"/>
      <c r="B176" s="6"/>
    </row>
    <row r="177" spans="1:2" x14ac:dyDescent="0.3">
      <c r="A177" s="5"/>
      <c r="B177" s="6"/>
    </row>
    <row r="178" spans="1:2" x14ac:dyDescent="0.3">
      <c r="A178" s="5"/>
      <c r="B178" s="6"/>
    </row>
    <row r="179" spans="1:2" x14ac:dyDescent="0.3">
      <c r="A179" s="5"/>
      <c r="B179" s="6"/>
    </row>
    <row r="180" spans="1:2" x14ac:dyDescent="0.3">
      <c r="A180" s="5"/>
      <c r="B180" s="6"/>
    </row>
    <row r="181" spans="1:2" x14ac:dyDescent="0.3">
      <c r="A181" s="5"/>
      <c r="B181" s="6"/>
    </row>
    <row r="182" spans="1:2" x14ac:dyDescent="0.3">
      <c r="A182" s="5"/>
      <c r="B182" s="6"/>
    </row>
    <row r="183" spans="1:2" x14ac:dyDescent="0.3">
      <c r="A183" s="5"/>
      <c r="B183" s="6"/>
    </row>
    <row r="184" spans="1:2" x14ac:dyDescent="0.3">
      <c r="A184" s="5"/>
      <c r="B184" s="6"/>
    </row>
    <row r="185" spans="1:2" x14ac:dyDescent="0.3">
      <c r="A185" s="5"/>
      <c r="B185" s="6"/>
    </row>
    <row r="186" spans="1:2" x14ac:dyDescent="0.3">
      <c r="A186" s="5"/>
      <c r="B186" s="6"/>
    </row>
    <row r="187" spans="1:2" x14ac:dyDescent="0.3">
      <c r="A187" s="5"/>
      <c r="B187" s="6"/>
    </row>
    <row r="188" spans="1:2" x14ac:dyDescent="0.3">
      <c r="A188" s="5"/>
      <c r="B188" s="6"/>
    </row>
    <row r="189" spans="1:2" x14ac:dyDescent="0.3">
      <c r="A189" s="5"/>
      <c r="B189" s="6"/>
    </row>
    <row r="190" spans="1:2" x14ac:dyDescent="0.3">
      <c r="A190" s="5"/>
      <c r="B190" s="6"/>
    </row>
    <row r="191" spans="1:2" x14ac:dyDescent="0.3">
      <c r="A191" s="5"/>
      <c r="B191" s="6"/>
    </row>
    <row r="192" spans="1:2" x14ac:dyDescent="0.3">
      <c r="A192" s="5"/>
      <c r="B192" s="6"/>
    </row>
    <row r="193" spans="1:2" x14ac:dyDescent="0.3">
      <c r="A193" s="5"/>
      <c r="B193" s="6"/>
    </row>
    <row r="194" spans="1:2" x14ac:dyDescent="0.3">
      <c r="A194" s="5"/>
      <c r="B194" s="6"/>
    </row>
    <row r="195" spans="1:2" x14ac:dyDescent="0.3">
      <c r="A195" s="5"/>
      <c r="B195" s="6"/>
    </row>
    <row r="196" spans="1:2" x14ac:dyDescent="0.3">
      <c r="A196" s="5"/>
      <c r="B196" s="6"/>
    </row>
    <row r="197" spans="1:2" x14ac:dyDescent="0.3">
      <c r="A197" s="5"/>
      <c r="B197" s="6"/>
    </row>
    <row r="198" spans="1:2" x14ac:dyDescent="0.3">
      <c r="A198" s="5"/>
      <c r="B198" s="6"/>
    </row>
    <row r="199" spans="1:2" x14ac:dyDescent="0.3">
      <c r="A199" s="5"/>
      <c r="B199" s="6"/>
    </row>
    <row r="200" spans="1:2" x14ac:dyDescent="0.3">
      <c r="A200" s="5"/>
      <c r="B200" s="6"/>
    </row>
    <row r="201" spans="1:2" x14ac:dyDescent="0.3">
      <c r="A201" s="5"/>
      <c r="B201" s="6"/>
    </row>
    <row r="202" spans="1:2" x14ac:dyDescent="0.3">
      <c r="A202" s="5"/>
      <c r="B202" s="6"/>
    </row>
    <row r="203" spans="1:2" x14ac:dyDescent="0.3">
      <c r="A203" s="5"/>
      <c r="B203" s="6"/>
    </row>
    <row r="204" spans="1:2" x14ac:dyDescent="0.3">
      <c r="A204" s="5"/>
      <c r="B204" s="6"/>
    </row>
    <row r="205" spans="1:2" x14ac:dyDescent="0.3">
      <c r="A205" s="5"/>
      <c r="B205" s="6"/>
    </row>
    <row r="206" spans="1:2" x14ac:dyDescent="0.3">
      <c r="A206" s="5"/>
      <c r="B206" s="6"/>
    </row>
    <row r="207" spans="1:2" x14ac:dyDescent="0.3">
      <c r="A207" s="5"/>
      <c r="B207" s="6"/>
    </row>
    <row r="208" spans="1:2" x14ac:dyDescent="0.3">
      <c r="A208" s="5"/>
      <c r="B208" s="6"/>
    </row>
    <row r="209" spans="1:2" x14ac:dyDescent="0.3">
      <c r="A209" s="5"/>
      <c r="B209" s="6"/>
    </row>
    <row r="210" spans="1:2" x14ac:dyDescent="0.3">
      <c r="A210" s="5"/>
      <c r="B210" s="6"/>
    </row>
    <row r="211" spans="1:2" x14ac:dyDescent="0.3">
      <c r="A211" s="5"/>
      <c r="B211" s="6"/>
    </row>
    <row r="212" spans="1:2" x14ac:dyDescent="0.3">
      <c r="A212" s="5"/>
      <c r="B212" s="6"/>
    </row>
    <row r="213" spans="1:2" x14ac:dyDescent="0.3">
      <c r="A213" s="5"/>
      <c r="B213" s="6"/>
    </row>
    <row r="214" spans="1:2" x14ac:dyDescent="0.3">
      <c r="A214" s="5"/>
      <c r="B214" s="6"/>
    </row>
    <row r="215" spans="1:2" x14ac:dyDescent="0.3">
      <c r="A215" s="5"/>
      <c r="B215" s="6"/>
    </row>
    <row r="216" spans="1:2" x14ac:dyDescent="0.3">
      <c r="A216" s="5"/>
      <c r="B216" s="6"/>
    </row>
    <row r="217" spans="1:2" x14ac:dyDescent="0.3">
      <c r="A217" s="5"/>
      <c r="B217" s="6"/>
    </row>
    <row r="218" spans="1:2" x14ac:dyDescent="0.3">
      <c r="A218" s="5"/>
      <c r="B218" s="6"/>
    </row>
    <row r="219" spans="1:2" x14ac:dyDescent="0.3">
      <c r="A219" s="5"/>
      <c r="B219" s="6"/>
    </row>
    <row r="220" spans="1:2" x14ac:dyDescent="0.3">
      <c r="A220" s="5"/>
      <c r="B220" s="6"/>
    </row>
    <row r="221" spans="1:2" x14ac:dyDescent="0.3">
      <c r="A221" s="5"/>
      <c r="B221" s="6"/>
    </row>
    <row r="222" spans="1:2" x14ac:dyDescent="0.3">
      <c r="A222" s="5"/>
      <c r="B222" s="6"/>
    </row>
    <row r="223" spans="1:2" x14ac:dyDescent="0.3">
      <c r="A223" s="5"/>
      <c r="B223" s="6"/>
    </row>
    <row r="224" spans="1:2" x14ac:dyDescent="0.3">
      <c r="A224" s="5"/>
      <c r="B224" s="6"/>
    </row>
    <row r="225" spans="1:2" x14ac:dyDescent="0.3">
      <c r="A225" s="5"/>
      <c r="B225" s="6"/>
    </row>
    <row r="226" spans="1:2" x14ac:dyDescent="0.3">
      <c r="A226" s="5"/>
      <c r="B226" s="6"/>
    </row>
    <row r="227" spans="1:2" x14ac:dyDescent="0.3">
      <c r="A227" s="5"/>
      <c r="B227" s="6"/>
    </row>
    <row r="228" spans="1:2" x14ac:dyDescent="0.3">
      <c r="A228" s="5"/>
      <c r="B228" s="6"/>
    </row>
    <row r="229" spans="1:2" x14ac:dyDescent="0.3">
      <c r="A229" s="5"/>
      <c r="B229" s="6"/>
    </row>
    <row r="230" spans="1:2" x14ac:dyDescent="0.3">
      <c r="A230" s="5"/>
      <c r="B230" s="6"/>
    </row>
    <row r="231" spans="1:2" x14ac:dyDescent="0.3">
      <c r="A231" s="5"/>
      <c r="B231" s="6"/>
    </row>
    <row r="232" spans="1:2" x14ac:dyDescent="0.3">
      <c r="A232" s="5"/>
      <c r="B232" s="6"/>
    </row>
    <row r="233" spans="1:2" x14ac:dyDescent="0.3">
      <c r="A233" s="5"/>
      <c r="B233" s="6"/>
    </row>
    <row r="234" spans="1:2" x14ac:dyDescent="0.3">
      <c r="A234" s="5"/>
      <c r="B234" s="6"/>
    </row>
    <row r="235" spans="1:2" x14ac:dyDescent="0.3">
      <c r="A235" s="5"/>
      <c r="B235" s="6"/>
    </row>
    <row r="236" spans="1:2" x14ac:dyDescent="0.3">
      <c r="A236" s="5"/>
      <c r="B236" s="6"/>
    </row>
    <row r="237" spans="1:2" x14ac:dyDescent="0.3">
      <c r="A237" s="5"/>
      <c r="B237" s="6"/>
    </row>
    <row r="238" spans="1:2" x14ac:dyDescent="0.3">
      <c r="A238" s="5"/>
      <c r="B238" s="6"/>
    </row>
    <row r="239" spans="1:2" x14ac:dyDescent="0.3">
      <c r="A239" s="5"/>
      <c r="B239" s="6"/>
    </row>
    <row r="240" spans="1:2" x14ac:dyDescent="0.3">
      <c r="A240" s="5"/>
      <c r="B240" s="6"/>
    </row>
    <row r="241" spans="1:2" x14ac:dyDescent="0.3">
      <c r="A241" s="5"/>
      <c r="B241" s="6"/>
    </row>
    <row r="242" spans="1:2" x14ac:dyDescent="0.3">
      <c r="A242" s="5"/>
      <c r="B242" s="6"/>
    </row>
    <row r="243" spans="1:2" x14ac:dyDescent="0.3">
      <c r="A243" s="5"/>
      <c r="B243" s="6"/>
    </row>
    <row r="244" spans="1:2" x14ac:dyDescent="0.3">
      <c r="A244" s="5"/>
      <c r="B244" s="6"/>
    </row>
    <row r="245" spans="1:2" x14ac:dyDescent="0.3">
      <c r="A245" s="5"/>
      <c r="B245" s="6"/>
    </row>
    <row r="246" spans="1:2" x14ac:dyDescent="0.3">
      <c r="A246" s="5"/>
      <c r="B246" s="6"/>
    </row>
    <row r="247" spans="1:2" x14ac:dyDescent="0.3">
      <c r="A247" s="5"/>
      <c r="B247" s="6"/>
    </row>
    <row r="248" spans="1:2" x14ac:dyDescent="0.3">
      <c r="A248" s="5"/>
      <c r="B248" s="6"/>
    </row>
    <row r="249" spans="1:2" x14ac:dyDescent="0.3">
      <c r="A249" s="5"/>
      <c r="B249" s="6"/>
    </row>
    <row r="250" spans="1:2" x14ac:dyDescent="0.3">
      <c r="A250" s="5"/>
      <c r="B250" s="6"/>
    </row>
    <row r="251" spans="1:2" x14ac:dyDescent="0.3">
      <c r="A251" s="5"/>
      <c r="B251" s="6"/>
    </row>
    <row r="252" spans="1:2" x14ac:dyDescent="0.3">
      <c r="A252" s="5"/>
      <c r="B252" s="6"/>
    </row>
    <row r="253" spans="1:2" x14ac:dyDescent="0.3">
      <c r="A253" s="5"/>
      <c r="B253" s="6"/>
    </row>
    <row r="254" spans="1:2" x14ac:dyDescent="0.3">
      <c r="A254" s="5"/>
      <c r="B254" s="6"/>
    </row>
    <row r="255" spans="1:2" x14ac:dyDescent="0.3">
      <c r="A255" s="5"/>
      <c r="B255" s="6"/>
    </row>
    <row r="256" spans="1:2" x14ac:dyDescent="0.3">
      <c r="A256" s="5"/>
      <c r="B256" s="6"/>
    </row>
    <row r="257" spans="1:2" x14ac:dyDescent="0.3">
      <c r="A257" s="5"/>
      <c r="B257" s="6"/>
    </row>
    <row r="258" spans="1:2" x14ac:dyDescent="0.3">
      <c r="A258" s="5"/>
      <c r="B258" s="6"/>
    </row>
    <row r="259" spans="1:2" x14ac:dyDescent="0.3">
      <c r="A259" s="5"/>
      <c r="B259" s="6"/>
    </row>
    <row r="260" spans="1:2" x14ac:dyDescent="0.3">
      <c r="A260" s="5"/>
      <c r="B260" s="6"/>
    </row>
    <row r="261" spans="1:2" x14ac:dyDescent="0.3">
      <c r="A261" s="5"/>
      <c r="B261" s="6"/>
    </row>
    <row r="262" spans="1:2" x14ac:dyDescent="0.3">
      <c r="A262" s="5"/>
      <c r="B262" s="6"/>
    </row>
    <row r="263" spans="1:2" x14ac:dyDescent="0.3">
      <c r="A263" s="5"/>
      <c r="B263" s="6"/>
    </row>
    <row r="264" spans="1:2" x14ac:dyDescent="0.3">
      <c r="A264" s="5"/>
      <c r="B264" s="6"/>
    </row>
    <row r="265" spans="1:2" x14ac:dyDescent="0.3">
      <c r="A265" s="5"/>
      <c r="B265" s="6"/>
    </row>
    <row r="266" spans="1:2" x14ac:dyDescent="0.3">
      <c r="A266" s="5"/>
      <c r="B266" s="6"/>
    </row>
    <row r="267" spans="1:2" x14ac:dyDescent="0.3">
      <c r="A267" s="5"/>
      <c r="B267" s="6"/>
    </row>
    <row r="268" spans="1:2" x14ac:dyDescent="0.3">
      <c r="A268" s="5"/>
      <c r="B268" s="6"/>
    </row>
    <row r="269" spans="1:2" x14ac:dyDescent="0.3">
      <c r="A269" s="5"/>
      <c r="B269" s="6"/>
    </row>
    <row r="270" spans="1:2" x14ac:dyDescent="0.3">
      <c r="A270" s="5"/>
      <c r="B270" s="6"/>
    </row>
    <row r="271" spans="1:2" x14ac:dyDescent="0.3">
      <c r="A271" s="5"/>
      <c r="B271" s="6"/>
    </row>
    <row r="272" spans="1:2" x14ac:dyDescent="0.3">
      <c r="A272" s="5"/>
      <c r="B272" s="6"/>
    </row>
    <row r="273" spans="1:2" x14ac:dyDescent="0.3">
      <c r="A273" s="5"/>
      <c r="B273" s="6"/>
    </row>
    <row r="274" spans="1:2" x14ac:dyDescent="0.3">
      <c r="A274" s="5"/>
      <c r="B274" s="6"/>
    </row>
    <row r="275" spans="1:2" x14ac:dyDescent="0.3">
      <c r="A275" s="5"/>
      <c r="B275" s="6"/>
    </row>
    <row r="276" spans="1:2" x14ac:dyDescent="0.3">
      <c r="A276" s="5"/>
      <c r="B276" s="6"/>
    </row>
    <row r="277" spans="1:2" x14ac:dyDescent="0.3">
      <c r="A277" s="5"/>
      <c r="B277" s="6"/>
    </row>
    <row r="278" spans="1:2" x14ac:dyDescent="0.3">
      <c r="A278" s="5"/>
      <c r="B278" s="6"/>
    </row>
    <row r="279" spans="1:2" x14ac:dyDescent="0.3">
      <c r="A279" s="5"/>
      <c r="B279" s="6"/>
    </row>
    <row r="280" spans="1:2" x14ac:dyDescent="0.3">
      <c r="A280" s="5"/>
      <c r="B280" s="6"/>
    </row>
    <row r="281" spans="1:2" x14ac:dyDescent="0.3">
      <c r="A281" s="5"/>
      <c r="B281" s="6"/>
    </row>
    <row r="282" spans="1:2" x14ac:dyDescent="0.3">
      <c r="A282" s="5"/>
      <c r="B282" s="6"/>
    </row>
    <row r="283" spans="1:2" x14ac:dyDescent="0.3">
      <c r="A283" s="5"/>
      <c r="B283" s="6"/>
    </row>
    <row r="284" spans="1:2" x14ac:dyDescent="0.3">
      <c r="A284" s="5"/>
      <c r="B284" s="6"/>
    </row>
    <row r="285" spans="1:2" x14ac:dyDescent="0.3">
      <c r="A285" s="5"/>
      <c r="B285" s="6"/>
    </row>
    <row r="286" spans="1:2" x14ac:dyDescent="0.3">
      <c r="A286" s="5"/>
      <c r="B286" s="6"/>
    </row>
    <row r="287" spans="1:2" x14ac:dyDescent="0.3">
      <c r="A287" s="5"/>
      <c r="B287" s="6"/>
    </row>
    <row r="288" spans="1:2" x14ac:dyDescent="0.3">
      <c r="A288" s="5"/>
      <c r="B288" s="6"/>
    </row>
    <row r="289" spans="1:2" x14ac:dyDescent="0.3">
      <c r="A289" s="5"/>
      <c r="B289" s="6"/>
    </row>
    <row r="290" spans="1:2" x14ac:dyDescent="0.3">
      <c r="A290" s="5"/>
      <c r="B290" s="6"/>
    </row>
    <row r="291" spans="1:2" x14ac:dyDescent="0.3">
      <c r="A291" s="5"/>
      <c r="B291" s="6"/>
    </row>
    <row r="292" spans="1:2" x14ac:dyDescent="0.3">
      <c r="A292" s="5"/>
      <c r="B292" s="6"/>
    </row>
    <row r="293" spans="1:2" x14ac:dyDescent="0.3">
      <c r="A293" s="5"/>
      <c r="B293" s="6"/>
    </row>
    <row r="294" spans="1:2" x14ac:dyDescent="0.3">
      <c r="A294" s="5"/>
      <c r="B294" s="6"/>
    </row>
    <row r="295" spans="1:2" x14ac:dyDescent="0.3">
      <c r="A295" s="5"/>
      <c r="B295" s="6"/>
    </row>
    <row r="296" spans="1:2" x14ac:dyDescent="0.3">
      <c r="A296" s="5"/>
      <c r="B296" s="6"/>
    </row>
    <row r="297" spans="1:2" x14ac:dyDescent="0.3">
      <c r="A297" s="5"/>
      <c r="B297" s="6"/>
    </row>
    <row r="298" spans="1:2" x14ac:dyDescent="0.3">
      <c r="A298" s="5"/>
      <c r="B298" s="6"/>
    </row>
    <row r="299" spans="1:2" x14ac:dyDescent="0.3">
      <c r="A299" s="5"/>
      <c r="B299" s="6"/>
    </row>
    <row r="300" spans="1:2" x14ac:dyDescent="0.3">
      <c r="A300" s="5"/>
      <c r="B300" s="6"/>
    </row>
    <row r="301" spans="1:2" x14ac:dyDescent="0.3">
      <c r="A301" s="5"/>
      <c r="B301" s="6"/>
    </row>
    <row r="302" spans="1:2" x14ac:dyDescent="0.3">
      <c r="A302" s="5"/>
      <c r="B302" s="6"/>
    </row>
    <row r="303" spans="1:2" x14ac:dyDescent="0.3">
      <c r="A303" s="5"/>
      <c r="B303" s="6"/>
    </row>
    <row r="304" spans="1:2" x14ac:dyDescent="0.3">
      <c r="A304" s="5"/>
      <c r="B304" s="6"/>
    </row>
    <row r="305" spans="1:2" x14ac:dyDescent="0.3">
      <c r="A305" s="5"/>
      <c r="B305" s="6"/>
    </row>
    <row r="306" spans="1:2" x14ac:dyDescent="0.3">
      <c r="A306" s="5"/>
      <c r="B306" s="6"/>
    </row>
    <row r="307" spans="1:2" x14ac:dyDescent="0.3">
      <c r="A307" s="5"/>
      <c r="B307" s="6"/>
    </row>
    <row r="308" spans="1:2" x14ac:dyDescent="0.3">
      <c r="A308" s="5"/>
      <c r="B308" s="6"/>
    </row>
    <row r="309" spans="1:2" x14ac:dyDescent="0.3">
      <c r="A309" s="5"/>
      <c r="B309" s="6"/>
    </row>
    <row r="310" spans="1:2" x14ac:dyDescent="0.3">
      <c r="A310" s="5"/>
      <c r="B310" s="6"/>
    </row>
    <row r="311" spans="1:2" x14ac:dyDescent="0.3">
      <c r="A311" s="5"/>
      <c r="B311" s="6"/>
    </row>
    <row r="312" spans="1:2" x14ac:dyDescent="0.3">
      <c r="A312" s="5"/>
      <c r="B312" s="6"/>
    </row>
    <row r="313" spans="1:2" x14ac:dyDescent="0.3">
      <c r="A313" s="5"/>
      <c r="B313" s="6"/>
    </row>
    <row r="314" spans="1:2" x14ac:dyDescent="0.3">
      <c r="A314" s="5"/>
      <c r="B314" s="6"/>
    </row>
    <row r="315" spans="1:2" x14ac:dyDescent="0.3">
      <c r="A315" s="5"/>
      <c r="B315" s="6"/>
    </row>
    <row r="316" spans="1:2" x14ac:dyDescent="0.3">
      <c r="A316" s="5"/>
      <c r="B316" s="6"/>
    </row>
    <row r="317" spans="1:2" x14ac:dyDescent="0.3">
      <c r="A317" s="5"/>
      <c r="B317" s="6"/>
    </row>
    <row r="318" spans="1:2" x14ac:dyDescent="0.3">
      <c r="A318" s="5"/>
      <c r="B318" s="6"/>
    </row>
    <row r="319" spans="1:2" x14ac:dyDescent="0.3">
      <c r="A319" s="5"/>
      <c r="B319" s="6"/>
    </row>
    <row r="320" spans="1:2" x14ac:dyDescent="0.3">
      <c r="A320" s="5"/>
      <c r="B320" s="6"/>
    </row>
    <row r="321" spans="1:2" x14ac:dyDescent="0.3">
      <c r="A321" s="5"/>
      <c r="B321" s="6"/>
    </row>
    <row r="322" spans="1:2" x14ac:dyDescent="0.3">
      <c r="A322" s="5"/>
      <c r="B322" s="6"/>
    </row>
    <row r="323" spans="1:2" x14ac:dyDescent="0.3">
      <c r="A323" s="5"/>
      <c r="B323" s="6"/>
    </row>
    <row r="324" spans="1:2" x14ac:dyDescent="0.3">
      <c r="A324" s="5"/>
      <c r="B324" s="6"/>
    </row>
    <row r="325" spans="1:2" x14ac:dyDescent="0.3">
      <c r="A325" s="5"/>
      <c r="B325" s="6"/>
    </row>
    <row r="326" spans="1:2" x14ac:dyDescent="0.3">
      <c r="A326" s="5"/>
      <c r="B326" s="6"/>
    </row>
    <row r="327" spans="1:2" x14ac:dyDescent="0.3">
      <c r="A327" s="5"/>
      <c r="B327" s="6"/>
    </row>
    <row r="328" spans="1:2" x14ac:dyDescent="0.3">
      <c r="A328" s="5"/>
      <c r="B328" s="6"/>
    </row>
    <row r="329" spans="1:2" x14ac:dyDescent="0.3">
      <c r="A329" s="5"/>
      <c r="B329" s="6"/>
    </row>
    <row r="330" spans="1:2" x14ac:dyDescent="0.3">
      <c r="A330" s="5"/>
      <c r="B330" s="6"/>
    </row>
    <row r="331" spans="1:2" x14ac:dyDescent="0.3">
      <c r="A331" s="5"/>
      <c r="B331" s="6"/>
    </row>
    <row r="332" spans="1:2" x14ac:dyDescent="0.3">
      <c r="A332" s="5"/>
      <c r="B332" s="6"/>
    </row>
    <row r="333" spans="1:2" x14ac:dyDescent="0.3">
      <c r="A333" s="5"/>
      <c r="B333" s="6"/>
    </row>
    <row r="334" spans="1:2" x14ac:dyDescent="0.3">
      <c r="A334" s="5"/>
      <c r="B334" s="6"/>
    </row>
    <row r="335" spans="1:2" x14ac:dyDescent="0.3">
      <c r="A335" s="5"/>
      <c r="B335" s="6"/>
    </row>
    <row r="336" spans="1:2" x14ac:dyDescent="0.3">
      <c r="A336" s="5"/>
      <c r="B336" s="6"/>
    </row>
    <row r="337" spans="1:2" x14ac:dyDescent="0.3">
      <c r="A337" s="5"/>
      <c r="B337" s="6"/>
    </row>
    <row r="338" spans="1:2" x14ac:dyDescent="0.3">
      <c r="A338" s="5"/>
      <c r="B338" s="6"/>
    </row>
    <row r="339" spans="1:2" x14ac:dyDescent="0.3">
      <c r="A339" s="5"/>
      <c r="B339" s="6"/>
    </row>
    <row r="340" spans="1:2" x14ac:dyDescent="0.3">
      <c r="A340" s="5"/>
      <c r="B340" s="6"/>
    </row>
    <row r="341" spans="1:2" x14ac:dyDescent="0.3">
      <c r="A341" s="5"/>
      <c r="B341" s="6"/>
    </row>
    <row r="342" spans="1:2" x14ac:dyDescent="0.3">
      <c r="A342" s="5"/>
      <c r="B342" s="6"/>
    </row>
    <row r="343" spans="1:2" x14ac:dyDescent="0.3">
      <c r="A343" s="5"/>
      <c r="B343" s="6"/>
    </row>
    <row r="344" spans="1:2" x14ac:dyDescent="0.3">
      <c r="A344" s="5"/>
      <c r="B344" s="6"/>
    </row>
    <row r="345" spans="1:2" x14ac:dyDescent="0.3">
      <c r="A345" s="5"/>
      <c r="B345" s="6"/>
    </row>
    <row r="346" spans="1:2" x14ac:dyDescent="0.3">
      <c r="A346" s="5"/>
      <c r="B346" s="6"/>
    </row>
    <row r="347" spans="1:2" x14ac:dyDescent="0.3">
      <c r="A347" s="5"/>
      <c r="B347" s="6"/>
    </row>
    <row r="348" spans="1:2" x14ac:dyDescent="0.3">
      <c r="A348" s="5"/>
      <c r="B348" s="6"/>
    </row>
    <row r="349" spans="1:2" x14ac:dyDescent="0.3">
      <c r="A349" s="5"/>
      <c r="B349" s="6"/>
    </row>
    <row r="350" spans="1:2" x14ac:dyDescent="0.3">
      <c r="A350" s="5"/>
      <c r="B350" s="6"/>
    </row>
    <row r="351" spans="1:2" x14ac:dyDescent="0.3">
      <c r="A351" s="5"/>
      <c r="B351" s="6"/>
    </row>
    <row r="352" spans="1:2" x14ac:dyDescent="0.3">
      <c r="A352" s="5"/>
      <c r="B352" s="6"/>
    </row>
    <row r="353" spans="1:2" x14ac:dyDescent="0.3">
      <c r="A353" s="5"/>
      <c r="B353" s="6"/>
    </row>
    <row r="354" spans="1:2" x14ac:dyDescent="0.3">
      <c r="A354" s="5"/>
      <c r="B354" s="6"/>
    </row>
    <row r="355" spans="1:2" x14ac:dyDescent="0.3">
      <c r="A355" s="5"/>
      <c r="B355" s="6"/>
    </row>
    <row r="356" spans="1:2" x14ac:dyDescent="0.3">
      <c r="A356" s="5"/>
      <c r="B356" s="6"/>
    </row>
    <row r="357" spans="1:2" x14ac:dyDescent="0.3">
      <c r="A357" s="5"/>
      <c r="B357" s="6"/>
    </row>
    <row r="358" spans="1:2" x14ac:dyDescent="0.3">
      <c r="A358" s="5"/>
      <c r="B358" s="6"/>
    </row>
    <row r="359" spans="1:2" x14ac:dyDescent="0.3">
      <c r="A359" s="5"/>
      <c r="B359" s="6"/>
    </row>
    <row r="360" spans="1:2" x14ac:dyDescent="0.3">
      <c r="A360" s="5"/>
      <c r="B360" s="6"/>
    </row>
    <row r="361" spans="1:2" x14ac:dyDescent="0.3">
      <c r="A361" s="5"/>
      <c r="B361" s="6"/>
    </row>
    <row r="362" spans="1:2" x14ac:dyDescent="0.3">
      <c r="A362" s="5"/>
      <c r="B362" s="6"/>
    </row>
    <row r="363" spans="1:2" x14ac:dyDescent="0.3">
      <c r="A363" s="5"/>
      <c r="B363" s="6"/>
    </row>
    <row r="364" spans="1:2" x14ac:dyDescent="0.3">
      <c r="A364" s="5"/>
      <c r="B364" s="6"/>
    </row>
    <row r="365" spans="1:2" x14ac:dyDescent="0.3">
      <c r="A365" s="5"/>
      <c r="B365" s="6"/>
    </row>
    <row r="366" spans="1:2" x14ac:dyDescent="0.3">
      <c r="A366" s="5"/>
      <c r="B366" s="6"/>
    </row>
    <row r="367" spans="1:2" x14ac:dyDescent="0.3">
      <c r="A367" s="5"/>
      <c r="B367" s="6"/>
    </row>
    <row r="368" spans="1:2" x14ac:dyDescent="0.3">
      <c r="A368" s="5"/>
      <c r="B368" s="6"/>
    </row>
    <row r="369" spans="1:2" x14ac:dyDescent="0.3">
      <c r="A369" s="5"/>
      <c r="B369" s="6"/>
    </row>
    <row r="370" spans="1:2" x14ac:dyDescent="0.3">
      <c r="A370" s="5"/>
      <c r="B370" s="6"/>
    </row>
    <row r="371" spans="1:2" x14ac:dyDescent="0.3">
      <c r="A371" s="5"/>
      <c r="B371" s="6"/>
    </row>
    <row r="372" spans="1:2" x14ac:dyDescent="0.3">
      <c r="A372" s="5"/>
      <c r="B372" s="6"/>
    </row>
    <row r="373" spans="1:2" x14ac:dyDescent="0.3">
      <c r="A373" s="5"/>
      <c r="B373" s="6"/>
    </row>
    <row r="374" spans="1:2" x14ac:dyDescent="0.3">
      <c r="A374" s="5"/>
      <c r="B374" s="6"/>
    </row>
    <row r="375" spans="1:2" x14ac:dyDescent="0.3">
      <c r="A375" s="5"/>
      <c r="B375" s="6"/>
    </row>
    <row r="376" spans="1:2" x14ac:dyDescent="0.3">
      <c r="A376" s="5"/>
      <c r="B376" s="6"/>
    </row>
    <row r="377" spans="1:2" x14ac:dyDescent="0.3">
      <c r="A377" s="5"/>
      <c r="B377" s="6"/>
    </row>
    <row r="378" spans="1:2" x14ac:dyDescent="0.3">
      <c r="A378" s="5"/>
      <c r="B378" s="6"/>
    </row>
    <row r="379" spans="1:2" x14ac:dyDescent="0.3">
      <c r="A379" s="5"/>
      <c r="B379" s="6"/>
    </row>
    <row r="380" spans="1:2" x14ac:dyDescent="0.3">
      <c r="A380" s="5"/>
      <c r="B380" s="6"/>
    </row>
    <row r="381" spans="1:2" x14ac:dyDescent="0.3">
      <c r="A381" s="5"/>
      <c r="B381" s="6"/>
    </row>
    <row r="382" spans="1:2" x14ac:dyDescent="0.3">
      <c r="A382" s="5"/>
      <c r="B382" s="6"/>
    </row>
    <row r="383" spans="1:2" x14ac:dyDescent="0.3">
      <c r="A383" s="5"/>
      <c r="B383" s="6"/>
    </row>
    <row r="384" spans="1:2" x14ac:dyDescent="0.3">
      <c r="A384" s="5"/>
      <c r="B384" s="6"/>
    </row>
    <row r="385" spans="1:2" x14ac:dyDescent="0.3">
      <c r="A385" s="5"/>
      <c r="B385" s="6"/>
    </row>
    <row r="386" spans="1:2" x14ac:dyDescent="0.3">
      <c r="A386" s="5"/>
      <c r="B386" s="6"/>
    </row>
    <row r="387" spans="1:2" x14ac:dyDescent="0.3">
      <c r="A387" s="5"/>
      <c r="B387" s="6"/>
    </row>
    <row r="388" spans="1:2" x14ac:dyDescent="0.3">
      <c r="A388" s="5"/>
      <c r="B388" s="6"/>
    </row>
    <row r="389" spans="1:2" x14ac:dyDescent="0.3">
      <c r="A389" s="5"/>
      <c r="B389" s="6"/>
    </row>
    <row r="390" spans="1:2" x14ac:dyDescent="0.3">
      <c r="A390" s="5"/>
      <c r="B390" s="6"/>
    </row>
    <row r="391" spans="1:2" x14ac:dyDescent="0.3">
      <c r="A391" s="5"/>
      <c r="B391" s="6"/>
    </row>
    <row r="392" spans="1:2" x14ac:dyDescent="0.3">
      <c r="A392" s="5"/>
      <c r="B392" s="6"/>
    </row>
    <row r="393" spans="1:2" x14ac:dyDescent="0.3">
      <c r="A393" s="5"/>
      <c r="B393" s="6"/>
    </row>
    <row r="394" spans="1:2" x14ac:dyDescent="0.3">
      <c r="A394" s="5"/>
      <c r="B394" s="6"/>
    </row>
    <row r="395" spans="1:2" x14ac:dyDescent="0.3">
      <c r="A395" s="5"/>
      <c r="B395" s="6"/>
    </row>
    <row r="396" spans="1:2" x14ac:dyDescent="0.3">
      <c r="A396" s="5"/>
      <c r="B396" s="6"/>
    </row>
    <row r="397" spans="1:2" x14ac:dyDescent="0.3">
      <c r="A397" s="5"/>
      <c r="B397" s="6"/>
    </row>
    <row r="398" spans="1:2" x14ac:dyDescent="0.3">
      <c r="A398" s="5"/>
      <c r="B398" s="6"/>
    </row>
    <row r="399" spans="1:2" x14ac:dyDescent="0.3">
      <c r="A399" s="5"/>
      <c r="B399" s="6"/>
    </row>
    <row r="400" spans="1:2" x14ac:dyDescent="0.3">
      <c r="A400" s="5"/>
      <c r="B400" s="6"/>
    </row>
    <row r="401" spans="1:2" x14ac:dyDescent="0.3">
      <c r="A401" s="5"/>
      <c r="B401" s="6"/>
    </row>
    <row r="402" spans="1:2" x14ac:dyDescent="0.3">
      <c r="A402" s="5"/>
      <c r="B402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86245-9A70-4E35-A3D7-2821A92F19FC}">
  <dimension ref="A1:P111"/>
  <sheetViews>
    <sheetView topLeftCell="A2" workbookViewId="0">
      <selection activeCell="K1" sqref="K1"/>
    </sheetView>
  </sheetViews>
  <sheetFormatPr defaultRowHeight="14.4" x14ac:dyDescent="0.3"/>
  <cols>
    <col min="2" max="2" width="10.21875" style="6" bestFit="1" customWidth="1"/>
    <col min="3" max="14" width="8.88671875" style="2"/>
  </cols>
  <sheetData>
    <row r="1" spans="1:16" x14ac:dyDescent="0.3">
      <c r="A1" t="s">
        <v>8</v>
      </c>
      <c r="B1" s="15" t="s">
        <v>9</v>
      </c>
      <c r="C1" s="2" t="s">
        <v>26</v>
      </c>
      <c r="D1" s="2" t="s">
        <v>23</v>
      </c>
      <c r="E1" s="2" t="s">
        <v>12</v>
      </c>
      <c r="G1" s="2" t="s">
        <v>27</v>
      </c>
      <c r="H1" s="2" t="s">
        <v>13</v>
      </c>
      <c r="J1" s="2" t="s">
        <v>28</v>
      </c>
      <c r="K1" s="2" t="s">
        <v>12</v>
      </c>
      <c r="M1" s="2" t="s">
        <v>29</v>
      </c>
      <c r="N1" s="2" t="s">
        <v>13</v>
      </c>
      <c r="P1" s="2" t="s">
        <v>30</v>
      </c>
    </row>
    <row r="2" spans="1:16" x14ac:dyDescent="0.3">
      <c r="A2" t="s">
        <v>25</v>
      </c>
      <c r="B2" s="13">
        <v>0.81608990740740739</v>
      </c>
      <c r="C2" s="2">
        <v>4.09</v>
      </c>
      <c r="D2" s="2">
        <v>0.01</v>
      </c>
      <c r="E2" s="2">
        <v>0.04</v>
      </c>
      <c r="G2" s="2">
        <v>6.26</v>
      </c>
      <c r="H2" s="2">
        <v>0.14000000000000001</v>
      </c>
      <c r="J2" s="2">
        <v>4.3</v>
      </c>
      <c r="K2" s="2">
        <v>0.05</v>
      </c>
      <c r="M2" s="2">
        <v>4.26</v>
      </c>
      <c r="N2" s="2">
        <v>0.15</v>
      </c>
      <c r="P2" s="2">
        <v>5</v>
      </c>
    </row>
    <row r="3" spans="1:16" x14ac:dyDescent="0.3">
      <c r="A3" t="s">
        <v>25</v>
      </c>
      <c r="B3" s="10">
        <v>0.81610148148148143</v>
      </c>
      <c r="C3" s="2">
        <v>4.46</v>
      </c>
      <c r="D3" s="2">
        <v>0.01</v>
      </c>
      <c r="E3" s="2">
        <v>0.04</v>
      </c>
      <c r="G3" s="2">
        <v>6.24</v>
      </c>
      <c r="H3" s="2">
        <v>0.14000000000000001</v>
      </c>
      <c r="J3" s="2">
        <v>4.9800000000000004</v>
      </c>
      <c r="K3" s="2">
        <v>0.05</v>
      </c>
      <c r="M3" s="2">
        <v>4.26</v>
      </c>
      <c r="N3" s="2">
        <v>0.15</v>
      </c>
      <c r="P3" s="2">
        <v>5</v>
      </c>
    </row>
    <row r="4" spans="1:16" x14ac:dyDescent="0.3">
      <c r="A4" t="s">
        <v>25</v>
      </c>
      <c r="B4" s="13">
        <v>0.81611305555555558</v>
      </c>
      <c r="C4" s="2">
        <v>4.46</v>
      </c>
      <c r="D4" s="2">
        <v>0.01</v>
      </c>
      <c r="E4" s="2">
        <v>0.04</v>
      </c>
      <c r="G4" s="2">
        <v>6.26</v>
      </c>
      <c r="H4" s="2">
        <v>0.14000000000000001</v>
      </c>
      <c r="J4" s="2">
        <v>4.97</v>
      </c>
      <c r="K4" s="2">
        <v>0.04</v>
      </c>
      <c r="M4" s="2">
        <v>4.26</v>
      </c>
      <c r="N4" s="2">
        <v>0.15</v>
      </c>
      <c r="P4" s="2">
        <v>5</v>
      </c>
    </row>
    <row r="5" spans="1:16" x14ac:dyDescent="0.3">
      <c r="A5" t="s">
        <v>25</v>
      </c>
      <c r="B5" s="10">
        <v>0.81612462962962962</v>
      </c>
      <c r="C5" s="2">
        <v>4.3899999999999997</v>
      </c>
      <c r="D5" s="2">
        <v>0.01</v>
      </c>
      <c r="E5" s="2">
        <v>0.04</v>
      </c>
      <c r="G5" s="2">
        <v>6.71</v>
      </c>
      <c r="H5" s="2">
        <v>0.14000000000000001</v>
      </c>
      <c r="J5" s="2">
        <v>4.97</v>
      </c>
      <c r="K5" s="2">
        <v>0.04</v>
      </c>
      <c r="M5" s="2">
        <v>4.26</v>
      </c>
      <c r="N5" s="2">
        <v>0.15</v>
      </c>
      <c r="P5" s="2">
        <v>5</v>
      </c>
    </row>
    <row r="6" spans="1:16" x14ac:dyDescent="0.3">
      <c r="A6" t="s">
        <v>25</v>
      </c>
      <c r="B6" s="13">
        <v>0.81613620370370366</v>
      </c>
      <c r="C6" s="2">
        <v>4.4000000000000004</v>
      </c>
      <c r="D6" s="2">
        <v>0.01</v>
      </c>
      <c r="E6" s="2">
        <v>0.04</v>
      </c>
      <c r="G6" s="2">
        <v>6.77</v>
      </c>
      <c r="H6" s="2">
        <v>0.15</v>
      </c>
      <c r="J6" s="2">
        <v>4.97</v>
      </c>
      <c r="K6" s="2">
        <v>0.04</v>
      </c>
      <c r="M6" s="2">
        <v>4.26</v>
      </c>
      <c r="N6" s="2">
        <v>0.15</v>
      </c>
      <c r="P6" s="2">
        <v>5</v>
      </c>
    </row>
    <row r="7" spans="1:16" x14ac:dyDescent="0.3">
      <c r="A7" t="s">
        <v>25</v>
      </c>
      <c r="B7" s="10">
        <v>0.81614777777777781</v>
      </c>
      <c r="C7" s="2">
        <v>4.3899999999999997</v>
      </c>
      <c r="D7" s="2">
        <v>0.01</v>
      </c>
      <c r="E7" s="2">
        <v>0.04</v>
      </c>
      <c r="G7" s="2">
        <v>6.77</v>
      </c>
      <c r="H7" s="2">
        <v>0.15</v>
      </c>
      <c r="J7" s="2">
        <v>4.9800000000000004</v>
      </c>
      <c r="K7" s="2">
        <v>0.05</v>
      </c>
      <c r="M7" s="2">
        <v>4.26</v>
      </c>
      <c r="N7" s="2">
        <v>0.15</v>
      </c>
      <c r="P7" s="2">
        <v>5</v>
      </c>
    </row>
    <row r="8" spans="1:16" x14ac:dyDescent="0.3">
      <c r="A8" t="s">
        <v>25</v>
      </c>
      <c r="B8" s="13">
        <v>0.81615935185185184</v>
      </c>
      <c r="C8" s="2">
        <v>4.38</v>
      </c>
      <c r="D8" s="2">
        <v>0.01</v>
      </c>
      <c r="E8" s="2">
        <v>0.04</v>
      </c>
      <c r="G8" s="2">
        <v>6.77</v>
      </c>
      <c r="H8" s="2">
        <v>0.15</v>
      </c>
      <c r="J8" s="2">
        <v>5.8</v>
      </c>
      <c r="K8" s="2">
        <v>0.04</v>
      </c>
      <c r="M8" s="2">
        <v>4.26</v>
      </c>
      <c r="N8" s="2">
        <v>0.15</v>
      </c>
      <c r="P8" s="2">
        <v>5</v>
      </c>
    </row>
    <row r="9" spans="1:16" x14ac:dyDescent="0.3">
      <c r="A9" t="s">
        <v>25</v>
      </c>
      <c r="B9" s="10">
        <v>0.81617092592592588</v>
      </c>
      <c r="C9" s="2">
        <v>4.38</v>
      </c>
      <c r="D9" s="2">
        <v>0.01</v>
      </c>
      <c r="E9" s="2">
        <v>0.04</v>
      </c>
      <c r="G9" s="2">
        <v>6.77</v>
      </c>
      <c r="H9" s="2">
        <v>0.15</v>
      </c>
      <c r="J9" s="2">
        <v>5.55</v>
      </c>
      <c r="K9" s="2">
        <v>0.04</v>
      </c>
      <c r="M9" s="2">
        <v>4.26</v>
      </c>
      <c r="N9" s="2">
        <v>0.15</v>
      </c>
      <c r="P9" s="2">
        <v>5</v>
      </c>
    </row>
    <row r="10" spans="1:16" x14ac:dyDescent="0.3">
      <c r="A10" t="s">
        <v>25</v>
      </c>
      <c r="B10" s="13">
        <v>0.81618250000000003</v>
      </c>
      <c r="C10" s="2">
        <v>4.37</v>
      </c>
      <c r="D10" s="2">
        <v>0.01</v>
      </c>
      <c r="E10" s="2">
        <v>0.04</v>
      </c>
      <c r="G10" s="2">
        <v>6.77</v>
      </c>
      <c r="H10" s="2">
        <v>0.15</v>
      </c>
      <c r="J10" s="2">
        <v>4.83</v>
      </c>
      <c r="K10" s="2">
        <v>0.04</v>
      </c>
      <c r="M10" s="2">
        <v>4.26</v>
      </c>
      <c r="N10" s="2">
        <v>0.15</v>
      </c>
      <c r="P10" s="2">
        <v>5</v>
      </c>
    </row>
    <row r="11" spans="1:16" x14ac:dyDescent="0.3">
      <c r="A11" t="s">
        <v>25</v>
      </c>
      <c r="B11" s="10">
        <v>0.81619407407407407</v>
      </c>
      <c r="C11" s="2">
        <v>4.37</v>
      </c>
      <c r="D11" s="2">
        <v>0.01</v>
      </c>
      <c r="E11" s="2">
        <v>0.04</v>
      </c>
      <c r="G11" s="2">
        <v>6.77</v>
      </c>
      <c r="H11" s="2">
        <v>0.15</v>
      </c>
      <c r="J11" s="2">
        <v>4.68</v>
      </c>
      <c r="K11" s="2">
        <v>0.04</v>
      </c>
      <c r="M11" s="2">
        <v>4.6399999999999997</v>
      </c>
      <c r="N11" s="2">
        <v>0.15</v>
      </c>
      <c r="P11" s="2">
        <v>5</v>
      </c>
    </row>
    <row r="12" spans="1:16" x14ac:dyDescent="0.3">
      <c r="A12" t="s">
        <v>25</v>
      </c>
      <c r="B12" s="13">
        <v>0.81620564814814811</v>
      </c>
      <c r="C12" s="2">
        <v>4.3600000000000003</v>
      </c>
      <c r="D12" s="2">
        <v>0.01</v>
      </c>
      <c r="E12" s="2">
        <v>0.04</v>
      </c>
      <c r="G12" s="2">
        <v>6.77</v>
      </c>
      <c r="H12" s="2">
        <v>0.15</v>
      </c>
      <c r="J12" s="2">
        <v>4.99</v>
      </c>
      <c r="K12" s="2">
        <v>0.04</v>
      </c>
      <c r="M12" s="2">
        <v>5</v>
      </c>
      <c r="N12" s="2">
        <v>0.15</v>
      </c>
      <c r="P12" s="2">
        <v>5</v>
      </c>
    </row>
    <row r="13" spans="1:16" x14ac:dyDescent="0.3">
      <c r="A13" t="s">
        <v>25</v>
      </c>
      <c r="B13" s="10">
        <v>0.81621722222222226</v>
      </c>
      <c r="C13" s="2">
        <v>4.3499999999999996</v>
      </c>
      <c r="D13" s="2">
        <v>0.01</v>
      </c>
      <c r="E13" s="2">
        <v>0.04</v>
      </c>
      <c r="G13" s="2">
        <v>6.77</v>
      </c>
      <c r="H13" s="2">
        <v>0.15</v>
      </c>
      <c r="J13" s="2">
        <v>4.66</v>
      </c>
      <c r="K13" s="2">
        <v>0.04</v>
      </c>
      <c r="M13" s="2">
        <v>4.55</v>
      </c>
      <c r="N13" s="2">
        <v>0.15</v>
      </c>
      <c r="P13" s="2">
        <v>5</v>
      </c>
    </row>
    <row r="14" spans="1:16" x14ac:dyDescent="0.3">
      <c r="A14" t="s">
        <v>25</v>
      </c>
      <c r="B14" s="13">
        <v>0.8162287962962963</v>
      </c>
      <c r="C14" s="2">
        <v>4.34</v>
      </c>
      <c r="D14" s="2">
        <v>0.01</v>
      </c>
      <c r="E14" s="2">
        <v>0.04</v>
      </c>
      <c r="G14" s="2">
        <v>6.77</v>
      </c>
      <c r="H14" s="2">
        <v>0.14000000000000001</v>
      </c>
      <c r="J14" s="2">
        <v>4.83</v>
      </c>
      <c r="K14" s="2">
        <v>0.05</v>
      </c>
      <c r="M14" s="2">
        <v>4.99</v>
      </c>
      <c r="N14" s="2">
        <v>0.15</v>
      </c>
      <c r="P14" s="2">
        <v>5</v>
      </c>
    </row>
    <row r="15" spans="1:16" x14ac:dyDescent="0.3">
      <c r="A15" t="s">
        <v>25</v>
      </c>
      <c r="B15" s="10">
        <v>0.81624037037037034</v>
      </c>
      <c r="C15" s="2">
        <v>4.34</v>
      </c>
      <c r="D15" s="2">
        <v>0.01</v>
      </c>
      <c r="E15" s="2">
        <v>0.04</v>
      </c>
      <c r="G15" s="2">
        <v>6.77</v>
      </c>
      <c r="H15" s="2">
        <v>0.15</v>
      </c>
      <c r="J15" s="2">
        <v>4.78</v>
      </c>
      <c r="K15" s="2">
        <v>0.04</v>
      </c>
      <c r="M15" s="2">
        <v>4.62</v>
      </c>
      <c r="N15" s="2">
        <v>0.15</v>
      </c>
      <c r="P15" s="2">
        <v>5</v>
      </c>
    </row>
    <row r="16" spans="1:16" x14ac:dyDescent="0.3">
      <c r="A16" t="s">
        <v>25</v>
      </c>
      <c r="B16" s="13">
        <v>0.81625194444444449</v>
      </c>
      <c r="C16" s="2">
        <v>4.3499999999999996</v>
      </c>
      <c r="D16" s="2">
        <v>0.01</v>
      </c>
      <c r="E16" s="2">
        <v>0.04</v>
      </c>
      <c r="G16" s="2">
        <v>6.75</v>
      </c>
      <c r="H16" s="2">
        <v>0.14000000000000001</v>
      </c>
      <c r="J16" s="2">
        <v>4.75</v>
      </c>
      <c r="K16" s="2">
        <v>0.04</v>
      </c>
      <c r="M16" s="2">
        <v>4.8</v>
      </c>
      <c r="N16" s="2">
        <v>0.15</v>
      </c>
      <c r="P16" s="2">
        <v>5</v>
      </c>
    </row>
    <row r="17" spans="1:16" x14ac:dyDescent="0.3">
      <c r="A17" t="s">
        <v>25</v>
      </c>
      <c r="B17" s="10">
        <v>0.81626351851851853</v>
      </c>
      <c r="C17" s="2">
        <v>4.34</v>
      </c>
      <c r="D17" s="2">
        <v>0.01</v>
      </c>
      <c r="E17" s="2">
        <v>0.04</v>
      </c>
      <c r="G17" s="2">
        <v>6.61</v>
      </c>
      <c r="H17" s="2">
        <v>0.14000000000000001</v>
      </c>
      <c r="J17" s="2">
        <v>5.07</v>
      </c>
      <c r="K17" s="2">
        <v>0.04</v>
      </c>
      <c r="M17" s="2">
        <v>4.8499999999999996</v>
      </c>
      <c r="N17" s="2">
        <v>0.15</v>
      </c>
      <c r="P17" s="2">
        <v>5</v>
      </c>
    </row>
    <row r="18" spans="1:16" x14ac:dyDescent="0.3">
      <c r="A18" t="s">
        <v>25</v>
      </c>
      <c r="B18" s="13">
        <v>0.81627509259259257</v>
      </c>
      <c r="C18" s="2">
        <v>4.34</v>
      </c>
      <c r="D18" s="2">
        <v>0.01</v>
      </c>
      <c r="E18" s="2">
        <v>0.04</v>
      </c>
      <c r="G18" s="2">
        <v>6.61</v>
      </c>
      <c r="H18" s="2">
        <v>0.14000000000000001</v>
      </c>
      <c r="J18" s="2">
        <v>4.66</v>
      </c>
      <c r="K18" s="2">
        <v>0.04</v>
      </c>
      <c r="M18" s="2">
        <v>4.66</v>
      </c>
      <c r="N18" s="2">
        <v>0.15</v>
      </c>
      <c r="P18" s="2">
        <v>5</v>
      </c>
    </row>
    <row r="19" spans="1:16" x14ac:dyDescent="0.3">
      <c r="A19" t="s">
        <v>25</v>
      </c>
      <c r="B19" s="10">
        <v>0.81628666666666672</v>
      </c>
      <c r="C19" s="2">
        <v>4.32</v>
      </c>
      <c r="D19" s="2">
        <v>0.01</v>
      </c>
      <c r="E19" s="2">
        <v>0.04</v>
      </c>
      <c r="G19" s="2">
        <v>6.27</v>
      </c>
      <c r="H19" s="2">
        <v>0.14000000000000001</v>
      </c>
      <c r="J19" s="2">
        <v>4.9400000000000004</v>
      </c>
      <c r="K19" s="2">
        <v>0.04</v>
      </c>
      <c r="M19" s="2">
        <v>4.97</v>
      </c>
      <c r="N19" s="2">
        <v>0.15</v>
      </c>
      <c r="P19" s="2">
        <v>5</v>
      </c>
    </row>
    <row r="20" spans="1:16" x14ac:dyDescent="0.3">
      <c r="A20" t="s">
        <v>25</v>
      </c>
      <c r="B20" s="13">
        <v>0.81629824074074075</v>
      </c>
      <c r="C20" s="2">
        <v>4.42</v>
      </c>
      <c r="D20" s="2">
        <v>0.01</v>
      </c>
      <c r="E20" s="2">
        <v>0.04</v>
      </c>
      <c r="G20" s="2">
        <v>5.64</v>
      </c>
      <c r="H20" s="2">
        <v>0.15</v>
      </c>
      <c r="J20" s="2">
        <v>4.6900000000000004</v>
      </c>
      <c r="K20" s="2">
        <v>0.04</v>
      </c>
      <c r="M20" s="2">
        <v>4.62</v>
      </c>
      <c r="N20" s="2">
        <v>0.15</v>
      </c>
      <c r="P20" s="2">
        <v>5</v>
      </c>
    </row>
    <row r="21" spans="1:16" x14ac:dyDescent="0.3">
      <c r="A21" t="s">
        <v>25</v>
      </c>
      <c r="B21" s="10">
        <v>0.81630981481481479</v>
      </c>
      <c r="C21" s="2">
        <v>4.99</v>
      </c>
      <c r="D21" s="2">
        <v>0.01</v>
      </c>
      <c r="E21" s="2">
        <v>0.04</v>
      </c>
      <c r="G21" s="2">
        <v>5.67</v>
      </c>
      <c r="H21" s="2">
        <v>0.15</v>
      </c>
      <c r="J21" s="2">
        <v>4.87</v>
      </c>
      <c r="K21" s="2">
        <v>0.04</v>
      </c>
      <c r="M21" s="2">
        <v>4.9000000000000004</v>
      </c>
      <c r="N21" s="2">
        <v>0.15</v>
      </c>
      <c r="P21" s="2">
        <v>5</v>
      </c>
    </row>
    <row r="22" spans="1:16" x14ac:dyDescent="0.3">
      <c r="A22" t="s">
        <v>25</v>
      </c>
      <c r="B22" s="13">
        <v>0.81632138888888894</v>
      </c>
      <c r="C22" s="2">
        <v>4.9800000000000004</v>
      </c>
      <c r="D22" s="2">
        <v>0.01</v>
      </c>
      <c r="E22" s="2">
        <v>0.04</v>
      </c>
      <c r="G22" s="2">
        <v>5.64</v>
      </c>
      <c r="H22" s="2">
        <v>0.15</v>
      </c>
      <c r="J22" s="2">
        <v>4.87</v>
      </c>
      <c r="K22" s="2">
        <v>0.04</v>
      </c>
      <c r="M22" s="2">
        <v>4.68</v>
      </c>
      <c r="N22" s="2">
        <v>0.15</v>
      </c>
      <c r="P22" s="2">
        <v>5</v>
      </c>
    </row>
    <row r="23" spans="1:16" x14ac:dyDescent="0.3">
      <c r="A23" t="s">
        <v>25</v>
      </c>
      <c r="B23" s="10">
        <v>0.81633296296296298</v>
      </c>
      <c r="C23" s="2">
        <v>4.97</v>
      </c>
      <c r="D23" s="2">
        <v>0.01</v>
      </c>
      <c r="E23" s="2">
        <v>0.04</v>
      </c>
      <c r="G23" s="2">
        <v>5.6</v>
      </c>
      <c r="H23" s="2">
        <v>0.15</v>
      </c>
      <c r="J23" s="2">
        <v>4.7300000000000004</v>
      </c>
      <c r="K23" s="2">
        <v>0.04</v>
      </c>
      <c r="M23" s="2">
        <v>4.7699999999999996</v>
      </c>
      <c r="N23" s="2">
        <v>0.15</v>
      </c>
      <c r="P23" s="2">
        <v>5</v>
      </c>
    </row>
    <row r="24" spans="1:16" x14ac:dyDescent="0.3">
      <c r="A24" t="s">
        <v>25</v>
      </c>
      <c r="B24" s="13">
        <v>0.81634453703703702</v>
      </c>
      <c r="C24" s="2">
        <v>4.97</v>
      </c>
      <c r="D24" s="2">
        <v>0.01</v>
      </c>
      <c r="E24" s="2">
        <v>0.04</v>
      </c>
      <c r="G24" s="2">
        <v>5.1100000000000003</v>
      </c>
      <c r="H24" s="2">
        <v>0.14000000000000001</v>
      </c>
      <c r="J24" s="2">
        <v>5.12</v>
      </c>
      <c r="K24" s="2">
        <v>0.04</v>
      </c>
      <c r="M24" s="2">
        <v>4.8899999999999997</v>
      </c>
      <c r="N24" s="2">
        <v>0.15</v>
      </c>
      <c r="P24" s="2">
        <v>5</v>
      </c>
    </row>
    <row r="25" spans="1:16" x14ac:dyDescent="0.3">
      <c r="A25" t="s">
        <v>25</v>
      </c>
      <c r="B25" s="10">
        <v>0.81635611111111106</v>
      </c>
      <c r="C25" s="2">
        <v>5.1100000000000003</v>
      </c>
      <c r="D25" s="2">
        <v>0.01</v>
      </c>
      <c r="E25" s="2">
        <v>0.04</v>
      </c>
      <c r="G25" s="2">
        <v>4.93</v>
      </c>
      <c r="H25" s="2">
        <v>0.15</v>
      </c>
      <c r="J25" s="2">
        <v>4.6500000000000004</v>
      </c>
      <c r="K25" s="2">
        <v>0.05</v>
      </c>
      <c r="M25" s="2">
        <v>4.71</v>
      </c>
      <c r="N25" s="2">
        <v>0.15</v>
      </c>
      <c r="P25" s="2">
        <v>5</v>
      </c>
    </row>
    <row r="26" spans="1:16" x14ac:dyDescent="0.3">
      <c r="A26" t="s">
        <v>25</v>
      </c>
      <c r="B26" s="13">
        <v>0.81636768518518521</v>
      </c>
      <c r="C26" s="2">
        <v>5.78</v>
      </c>
      <c r="D26" s="2">
        <v>0.01</v>
      </c>
      <c r="E26" s="2">
        <v>0.04</v>
      </c>
      <c r="G26" s="2">
        <v>5.18</v>
      </c>
      <c r="H26" s="2">
        <v>0.15</v>
      </c>
      <c r="J26" s="2">
        <v>4.9400000000000004</v>
      </c>
      <c r="K26" s="2">
        <v>0.05</v>
      </c>
      <c r="M26" s="2">
        <v>5.08</v>
      </c>
      <c r="N26" s="2">
        <v>0.15</v>
      </c>
      <c r="P26" s="2">
        <v>5</v>
      </c>
    </row>
    <row r="27" spans="1:16" x14ac:dyDescent="0.3">
      <c r="A27" t="s">
        <v>25</v>
      </c>
      <c r="B27" s="10">
        <v>0.81637925925925925</v>
      </c>
      <c r="C27" s="2">
        <v>5.76</v>
      </c>
      <c r="D27" s="2">
        <v>0.01</v>
      </c>
      <c r="E27" s="2">
        <v>0.04</v>
      </c>
      <c r="G27" s="2">
        <v>4.82</v>
      </c>
      <c r="H27" s="2">
        <v>0.14000000000000001</v>
      </c>
      <c r="J27" s="2">
        <v>4.75</v>
      </c>
      <c r="K27" s="2">
        <v>0.05</v>
      </c>
      <c r="M27" s="2">
        <v>4.57</v>
      </c>
      <c r="N27" s="2">
        <v>0.15</v>
      </c>
      <c r="P27" s="2">
        <v>5</v>
      </c>
    </row>
    <row r="28" spans="1:16" x14ac:dyDescent="0.3">
      <c r="A28" t="s">
        <v>25</v>
      </c>
      <c r="B28" s="13">
        <v>0.81639083333333329</v>
      </c>
      <c r="C28" s="2">
        <v>5.75</v>
      </c>
      <c r="D28" s="2">
        <v>0.01</v>
      </c>
      <c r="E28" s="2">
        <v>0.04</v>
      </c>
      <c r="G28" s="2">
        <v>5.29</v>
      </c>
      <c r="H28" s="2">
        <v>0.14000000000000001</v>
      </c>
      <c r="J28" s="2">
        <v>4.7300000000000004</v>
      </c>
      <c r="K28" s="2">
        <v>0.05</v>
      </c>
      <c r="M28" s="2">
        <v>4.87</v>
      </c>
      <c r="N28" s="2">
        <v>0.15</v>
      </c>
      <c r="P28" s="2">
        <v>5</v>
      </c>
    </row>
    <row r="29" spans="1:16" x14ac:dyDescent="0.3">
      <c r="A29" t="s">
        <v>25</v>
      </c>
      <c r="B29" s="10">
        <v>0.81640240740740744</v>
      </c>
      <c r="C29" s="2">
        <v>5.74</v>
      </c>
      <c r="D29" s="2">
        <v>0.01</v>
      </c>
      <c r="E29" s="2">
        <v>0.04</v>
      </c>
      <c r="G29" s="2">
        <v>4.8099999999999996</v>
      </c>
      <c r="H29" s="2">
        <v>0.14000000000000001</v>
      </c>
      <c r="J29" s="2">
        <v>4.92</v>
      </c>
      <c r="K29" s="2">
        <v>0.05</v>
      </c>
      <c r="M29" s="2">
        <v>4.78</v>
      </c>
      <c r="N29" s="2">
        <v>0.15</v>
      </c>
      <c r="P29" s="2">
        <v>5</v>
      </c>
    </row>
    <row r="30" spans="1:16" x14ac:dyDescent="0.3">
      <c r="A30" t="s">
        <v>25</v>
      </c>
      <c r="B30" s="13">
        <v>0.81641398148148148</v>
      </c>
      <c r="C30" s="2">
        <v>5.78</v>
      </c>
      <c r="D30" s="2">
        <v>0.01</v>
      </c>
      <c r="E30" s="2">
        <v>0.04</v>
      </c>
      <c r="G30" s="2">
        <v>5.12</v>
      </c>
      <c r="H30" s="2">
        <v>0.14000000000000001</v>
      </c>
      <c r="J30" s="2">
        <v>4.84</v>
      </c>
      <c r="K30" s="2">
        <v>0.05</v>
      </c>
      <c r="M30" s="2">
        <v>4.7300000000000004</v>
      </c>
      <c r="N30" s="2">
        <v>0.15</v>
      </c>
      <c r="P30" s="2">
        <v>5</v>
      </c>
    </row>
    <row r="31" spans="1:16" x14ac:dyDescent="0.3">
      <c r="A31" t="s">
        <v>25</v>
      </c>
      <c r="B31" s="10">
        <v>0.81642555555555552</v>
      </c>
      <c r="C31" s="2">
        <v>6</v>
      </c>
      <c r="D31" s="2">
        <v>0.01</v>
      </c>
      <c r="E31" s="2">
        <v>0.04</v>
      </c>
      <c r="G31" s="2">
        <v>4.97</v>
      </c>
      <c r="H31" s="2">
        <v>0.14000000000000001</v>
      </c>
      <c r="J31" s="2">
        <v>5.16</v>
      </c>
      <c r="K31" s="2">
        <v>0.05</v>
      </c>
      <c r="M31" s="2">
        <v>5.01</v>
      </c>
      <c r="N31" s="2">
        <v>0.15</v>
      </c>
      <c r="P31" s="2">
        <v>5</v>
      </c>
    </row>
    <row r="32" spans="1:16" x14ac:dyDescent="0.3">
      <c r="A32" t="s">
        <v>25</v>
      </c>
      <c r="B32" s="13">
        <v>0.81643712962962967</v>
      </c>
      <c r="C32" s="2">
        <v>6</v>
      </c>
      <c r="D32" s="2">
        <v>0.01</v>
      </c>
      <c r="E32" s="2">
        <v>0.04</v>
      </c>
      <c r="G32" s="2">
        <v>4.8600000000000003</v>
      </c>
      <c r="H32" s="2">
        <v>0.14000000000000001</v>
      </c>
      <c r="J32" s="2">
        <v>4.58</v>
      </c>
      <c r="K32" s="2">
        <v>0.05</v>
      </c>
      <c r="M32" s="2">
        <v>4.68</v>
      </c>
      <c r="N32" s="2">
        <v>0.15</v>
      </c>
      <c r="P32" s="2">
        <v>5</v>
      </c>
    </row>
    <row r="33" spans="1:16" x14ac:dyDescent="0.3">
      <c r="A33" t="s">
        <v>25</v>
      </c>
      <c r="B33" s="10">
        <v>0.8164487037037037</v>
      </c>
      <c r="C33" s="2">
        <v>6</v>
      </c>
      <c r="D33" s="2">
        <v>0.01</v>
      </c>
      <c r="E33" s="2">
        <v>0.04</v>
      </c>
      <c r="G33" s="2">
        <v>5.16</v>
      </c>
      <c r="H33" s="2">
        <v>0.14000000000000001</v>
      </c>
      <c r="J33" s="2">
        <v>4.88</v>
      </c>
      <c r="K33" s="2">
        <v>0.05</v>
      </c>
      <c r="M33" s="2">
        <v>5.03</v>
      </c>
      <c r="N33" s="2">
        <v>0.14000000000000001</v>
      </c>
      <c r="P33" s="2">
        <v>5</v>
      </c>
    </row>
    <row r="34" spans="1:16" x14ac:dyDescent="0.3">
      <c r="A34" t="s">
        <v>25</v>
      </c>
      <c r="B34" s="13">
        <v>0.81646027777777774</v>
      </c>
      <c r="C34" s="2">
        <v>6</v>
      </c>
      <c r="D34" s="2">
        <v>0.01</v>
      </c>
      <c r="E34" s="2">
        <v>0.04</v>
      </c>
      <c r="G34" s="2">
        <v>4.78</v>
      </c>
      <c r="H34" s="2">
        <v>0.14000000000000001</v>
      </c>
      <c r="J34" s="2">
        <v>4.72</v>
      </c>
      <c r="K34" s="2">
        <v>0.05</v>
      </c>
      <c r="M34" s="2">
        <v>4.76</v>
      </c>
      <c r="N34" s="2">
        <v>0.14000000000000001</v>
      </c>
      <c r="P34" s="2">
        <v>5</v>
      </c>
    </row>
    <row r="35" spans="1:16" x14ac:dyDescent="0.3">
      <c r="A35" t="s">
        <v>25</v>
      </c>
      <c r="B35" s="10">
        <v>0.81647185185185189</v>
      </c>
      <c r="C35" s="2">
        <v>6.02</v>
      </c>
      <c r="D35" s="2">
        <v>0.01</v>
      </c>
      <c r="E35" s="2">
        <v>0.04</v>
      </c>
      <c r="G35" s="2">
        <v>5.18</v>
      </c>
      <c r="H35" s="2">
        <v>0.14000000000000001</v>
      </c>
      <c r="J35" s="2">
        <v>4.88</v>
      </c>
      <c r="K35" s="2">
        <v>0.05</v>
      </c>
      <c r="M35" s="2">
        <v>4.79</v>
      </c>
      <c r="N35" s="2">
        <v>0.15</v>
      </c>
      <c r="P35" s="2">
        <v>5</v>
      </c>
    </row>
    <row r="36" spans="1:16" x14ac:dyDescent="0.3">
      <c r="A36" t="s">
        <v>25</v>
      </c>
      <c r="B36" s="13">
        <v>0.81648342592592593</v>
      </c>
      <c r="C36" s="2">
        <v>6.14</v>
      </c>
      <c r="D36" s="2">
        <v>0.01</v>
      </c>
      <c r="E36" s="2">
        <v>0.04</v>
      </c>
      <c r="G36" s="2">
        <v>4.76</v>
      </c>
      <c r="H36" s="2">
        <v>0.15</v>
      </c>
      <c r="J36" s="2">
        <v>4.92</v>
      </c>
      <c r="K36" s="2">
        <v>0.05</v>
      </c>
      <c r="M36" s="2">
        <v>4.53</v>
      </c>
      <c r="N36" s="2">
        <v>0.15</v>
      </c>
      <c r="P36" s="2">
        <v>5</v>
      </c>
    </row>
    <row r="37" spans="1:16" x14ac:dyDescent="0.3">
      <c r="A37" t="s">
        <v>25</v>
      </c>
      <c r="B37" s="10">
        <v>0.81649499999999997</v>
      </c>
      <c r="C37" s="2">
        <v>6.14</v>
      </c>
      <c r="D37" s="2">
        <v>0.01</v>
      </c>
      <c r="E37" s="2">
        <v>0.04</v>
      </c>
      <c r="G37" s="2">
        <v>5.07</v>
      </c>
      <c r="H37" s="2">
        <v>0.14000000000000001</v>
      </c>
      <c r="J37" s="2">
        <v>4.76</v>
      </c>
      <c r="K37" s="2">
        <v>0.05</v>
      </c>
      <c r="M37" s="2">
        <v>4.6900000000000004</v>
      </c>
      <c r="N37" s="2">
        <v>0.15</v>
      </c>
      <c r="P37" s="2">
        <v>5</v>
      </c>
    </row>
    <row r="38" spans="1:16" x14ac:dyDescent="0.3">
      <c r="A38" t="s">
        <v>25</v>
      </c>
      <c r="B38" s="13">
        <v>0.81650657407407412</v>
      </c>
      <c r="C38" s="2">
        <v>6.14</v>
      </c>
      <c r="D38" s="2">
        <v>0.01</v>
      </c>
      <c r="E38" s="2">
        <v>0.04</v>
      </c>
      <c r="G38" s="2">
        <v>4.83</v>
      </c>
      <c r="H38" s="2">
        <v>0.14000000000000001</v>
      </c>
      <c r="J38" s="2">
        <v>5.15</v>
      </c>
      <c r="K38" s="2">
        <v>0.05</v>
      </c>
      <c r="M38" s="2">
        <v>4.71</v>
      </c>
      <c r="N38" s="2">
        <v>0.15</v>
      </c>
      <c r="P38" s="2">
        <v>5</v>
      </c>
    </row>
    <row r="39" spans="1:16" x14ac:dyDescent="0.3">
      <c r="A39" t="s">
        <v>25</v>
      </c>
      <c r="B39" s="10">
        <v>0.81651814814814816</v>
      </c>
      <c r="C39" s="2">
        <v>6.14</v>
      </c>
      <c r="D39" s="2">
        <v>0.01</v>
      </c>
      <c r="E39" s="2">
        <v>0.04</v>
      </c>
      <c r="G39" s="2">
        <v>4.92</v>
      </c>
      <c r="H39" s="2">
        <v>0.14000000000000001</v>
      </c>
      <c r="J39" s="2">
        <v>4.8</v>
      </c>
      <c r="K39" s="2">
        <v>0.05</v>
      </c>
      <c r="M39" s="2">
        <v>4.6500000000000004</v>
      </c>
      <c r="N39" s="2">
        <v>0.15</v>
      </c>
      <c r="P39" s="2">
        <v>5</v>
      </c>
    </row>
    <row r="40" spans="1:16" x14ac:dyDescent="0.3">
      <c r="A40" t="s">
        <v>25</v>
      </c>
      <c r="B40" s="13">
        <v>0.8165297222222222</v>
      </c>
      <c r="C40" s="2">
        <v>6.15</v>
      </c>
      <c r="D40" s="2">
        <v>0.01</v>
      </c>
      <c r="E40" s="2">
        <v>0.04</v>
      </c>
      <c r="G40" s="2">
        <v>5.0999999999999996</v>
      </c>
      <c r="H40" s="2">
        <v>0.15</v>
      </c>
      <c r="J40" s="2">
        <v>4.8499999999999996</v>
      </c>
      <c r="K40" s="2">
        <v>0.05</v>
      </c>
      <c r="M40" s="2">
        <v>4.93</v>
      </c>
      <c r="N40" s="2">
        <v>0.15</v>
      </c>
      <c r="P40" s="2">
        <v>5</v>
      </c>
    </row>
    <row r="41" spans="1:16" x14ac:dyDescent="0.3">
      <c r="A41" t="s">
        <v>25</v>
      </c>
      <c r="B41" s="10">
        <v>0.81654129629629635</v>
      </c>
      <c r="C41" s="2">
        <v>6.24</v>
      </c>
      <c r="D41" s="2">
        <v>0.01</v>
      </c>
      <c r="E41" s="2">
        <v>0.04</v>
      </c>
      <c r="G41" s="2">
        <v>4.79</v>
      </c>
      <c r="H41" s="2">
        <v>0.15</v>
      </c>
      <c r="J41" s="2">
        <v>4.84</v>
      </c>
      <c r="K41" s="2">
        <v>0.05</v>
      </c>
      <c r="M41" s="2">
        <v>4.4800000000000004</v>
      </c>
      <c r="N41" s="2">
        <v>0.15</v>
      </c>
      <c r="P41" s="2">
        <v>5</v>
      </c>
    </row>
    <row r="42" spans="1:16" x14ac:dyDescent="0.3">
      <c r="A42" t="s">
        <v>25</v>
      </c>
      <c r="B42" s="13">
        <v>0.81655287037037039</v>
      </c>
      <c r="C42" s="2">
        <v>6.24</v>
      </c>
      <c r="D42" s="2">
        <v>0.01</v>
      </c>
      <c r="E42" s="2">
        <v>0.04</v>
      </c>
      <c r="G42" s="2">
        <v>5.09</v>
      </c>
      <c r="H42" s="2">
        <v>0.14000000000000001</v>
      </c>
      <c r="J42" s="2">
        <v>4.7699999999999996</v>
      </c>
      <c r="K42" s="2">
        <v>0.05</v>
      </c>
      <c r="M42" s="2">
        <v>4.72</v>
      </c>
      <c r="N42" s="2">
        <v>0.15</v>
      </c>
      <c r="P42" s="2">
        <v>5</v>
      </c>
    </row>
    <row r="43" spans="1:16" x14ac:dyDescent="0.3">
      <c r="A43" t="s">
        <v>25</v>
      </c>
      <c r="B43" s="10">
        <v>0.81656444444444443</v>
      </c>
      <c r="C43" s="2">
        <v>6.24</v>
      </c>
      <c r="D43" s="2">
        <v>0.01</v>
      </c>
      <c r="E43" s="2">
        <v>0.04</v>
      </c>
      <c r="G43" s="2">
        <v>4.74</v>
      </c>
      <c r="H43" s="2">
        <v>0.14000000000000001</v>
      </c>
      <c r="J43" s="2">
        <v>5.17</v>
      </c>
      <c r="K43" s="2">
        <v>0.05</v>
      </c>
      <c r="M43" s="2">
        <v>4.82</v>
      </c>
      <c r="N43" s="2">
        <v>0.15</v>
      </c>
      <c r="P43" s="2">
        <v>5</v>
      </c>
    </row>
    <row r="44" spans="1:16" x14ac:dyDescent="0.3">
      <c r="A44" t="s">
        <v>25</v>
      </c>
      <c r="B44" s="13">
        <v>0.81657601851851846</v>
      </c>
      <c r="C44" s="2">
        <v>6.24</v>
      </c>
      <c r="D44" s="2">
        <v>0.01</v>
      </c>
      <c r="E44" s="2">
        <v>0.04</v>
      </c>
      <c r="G44" s="2">
        <v>4.91</v>
      </c>
      <c r="H44" s="2">
        <v>0.14000000000000001</v>
      </c>
      <c r="J44" s="2">
        <v>4.79</v>
      </c>
      <c r="K44" s="2">
        <v>0.04</v>
      </c>
      <c r="M44" s="2">
        <v>4.46</v>
      </c>
      <c r="N44" s="2">
        <v>0.15</v>
      </c>
      <c r="P44" s="2">
        <v>5</v>
      </c>
    </row>
    <row r="45" spans="1:16" x14ac:dyDescent="0.3">
      <c r="A45" t="s">
        <v>25</v>
      </c>
      <c r="B45" s="10">
        <v>0.81658759259259261</v>
      </c>
      <c r="C45" s="2">
        <v>6.26</v>
      </c>
      <c r="D45" s="2">
        <v>0.01</v>
      </c>
      <c r="E45" s="2">
        <v>0.04</v>
      </c>
      <c r="G45" s="2">
        <v>4.87</v>
      </c>
      <c r="H45" s="2">
        <v>0.14000000000000001</v>
      </c>
      <c r="J45" s="2">
        <v>5.0599999999999996</v>
      </c>
      <c r="K45" s="2">
        <v>0.04</v>
      </c>
      <c r="M45" s="2">
        <v>4.97</v>
      </c>
      <c r="N45" s="2">
        <v>0.15</v>
      </c>
      <c r="P45" s="2">
        <v>5</v>
      </c>
    </row>
    <row r="46" spans="1:16" x14ac:dyDescent="0.3">
      <c r="A46" t="s">
        <v>25</v>
      </c>
      <c r="B46" s="13">
        <v>0.81659916666666665</v>
      </c>
      <c r="C46" s="2">
        <v>6.41</v>
      </c>
      <c r="D46" s="2">
        <v>0.01</v>
      </c>
      <c r="E46" s="2">
        <v>0.04</v>
      </c>
      <c r="G46" s="2">
        <v>4.87</v>
      </c>
      <c r="H46" s="2">
        <v>0.14000000000000001</v>
      </c>
      <c r="J46" s="2">
        <v>4.91</v>
      </c>
      <c r="K46" s="2">
        <v>0.04</v>
      </c>
      <c r="M46" s="2">
        <v>4.53</v>
      </c>
      <c r="N46" s="2">
        <v>0.15</v>
      </c>
      <c r="P46" s="2">
        <v>5</v>
      </c>
    </row>
    <row r="47" spans="1:16" x14ac:dyDescent="0.3">
      <c r="A47" t="s">
        <v>25</v>
      </c>
      <c r="B47" s="10">
        <v>0.81661074074074069</v>
      </c>
      <c r="C47" s="2">
        <v>6.41</v>
      </c>
      <c r="D47" s="2">
        <v>0.01</v>
      </c>
      <c r="E47" s="2">
        <v>0.04</v>
      </c>
      <c r="G47" s="2">
        <v>5.08</v>
      </c>
      <c r="H47" s="2">
        <v>0.14000000000000001</v>
      </c>
      <c r="J47" s="2">
        <v>4.68</v>
      </c>
      <c r="K47" s="2">
        <v>0.05</v>
      </c>
      <c r="M47" s="2">
        <v>4.83</v>
      </c>
      <c r="N47" s="2">
        <v>0.15</v>
      </c>
      <c r="P47" s="2">
        <v>5</v>
      </c>
    </row>
    <row r="48" spans="1:16" x14ac:dyDescent="0.3">
      <c r="A48" t="s">
        <v>25</v>
      </c>
      <c r="B48" s="13">
        <v>0.81662231481481484</v>
      </c>
      <c r="C48" s="2">
        <v>6.41</v>
      </c>
      <c r="D48" s="2">
        <v>0.01</v>
      </c>
      <c r="E48" s="2">
        <v>0.04</v>
      </c>
      <c r="G48" s="2">
        <v>4.76</v>
      </c>
      <c r="H48" s="2">
        <v>0.14000000000000001</v>
      </c>
      <c r="J48" s="2">
        <v>4.8099999999999996</v>
      </c>
      <c r="K48" s="2">
        <v>0.04</v>
      </c>
      <c r="M48" s="2">
        <v>4.54</v>
      </c>
      <c r="N48" s="2">
        <v>0.15</v>
      </c>
      <c r="P48" s="2">
        <v>5</v>
      </c>
    </row>
    <row r="49" spans="1:16" x14ac:dyDescent="0.3">
      <c r="A49" t="s">
        <v>25</v>
      </c>
      <c r="B49" s="10">
        <v>0.81663388888888888</v>
      </c>
      <c r="C49" s="2">
        <v>6.41</v>
      </c>
      <c r="D49" s="2">
        <v>0.01</v>
      </c>
      <c r="E49" s="2">
        <v>0.04</v>
      </c>
      <c r="G49" s="2">
        <v>5.16</v>
      </c>
      <c r="H49" s="2">
        <v>0.14000000000000001</v>
      </c>
      <c r="J49" s="2">
        <v>4.79</v>
      </c>
      <c r="K49" s="2">
        <v>0.04</v>
      </c>
      <c r="M49" s="2">
        <v>4.71</v>
      </c>
      <c r="N49" s="2">
        <v>0.15</v>
      </c>
      <c r="P49" s="2">
        <v>5</v>
      </c>
    </row>
    <row r="50" spans="1:16" x14ac:dyDescent="0.3">
      <c r="A50" t="s">
        <v>25</v>
      </c>
      <c r="B50" s="13">
        <v>0.81664546296296292</v>
      </c>
      <c r="C50" s="2">
        <v>6.43</v>
      </c>
      <c r="D50" s="2">
        <v>0.01</v>
      </c>
      <c r="E50" s="2">
        <v>0.04</v>
      </c>
      <c r="G50" s="2">
        <v>4.75</v>
      </c>
      <c r="H50" s="2">
        <v>0.14000000000000001</v>
      </c>
      <c r="J50" s="2">
        <v>5.0999999999999996</v>
      </c>
      <c r="K50" s="2">
        <v>0.04</v>
      </c>
      <c r="M50" s="2">
        <v>4.5599999999999996</v>
      </c>
      <c r="N50" s="2">
        <v>0.15</v>
      </c>
      <c r="P50" s="2">
        <v>5</v>
      </c>
    </row>
    <row r="51" spans="1:16" x14ac:dyDescent="0.3">
      <c r="A51" t="s">
        <v>25</v>
      </c>
      <c r="B51" s="10">
        <v>0.81665703703703707</v>
      </c>
      <c r="C51" s="2">
        <v>6.57</v>
      </c>
      <c r="D51" s="2">
        <v>0.01</v>
      </c>
      <c r="E51" s="2">
        <v>0.04</v>
      </c>
      <c r="G51" s="2">
        <v>4.96</v>
      </c>
      <c r="H51" s="2">
        <v>0.14000000000000001</v>
      </c>
      <c r="J51" s="2">
        <v>4.74</v>
      </c>
      <c r="K51" s="2">
        <v>0.04</v>
      </c>
      <c r="M51" s="2">
        <v>4.63</v>
      </c>
      <c r="N51" s="2">
        <v>0.15</v>
      </c>
      <c r="P51" s="2">
        <v>5</v>
      </c>
    </row>
    <row r="52" spans="1:16" x14ac:dyDescent="0.3">
      <c r="A52" t="s">
        <v>25</v>
      </c>
      <c r="B52" s="13">
        <v>0.81666861111111111</v>
      </c>
      <c r="C52" s="2">
        <v>6.57</v>
      </c>
      <c r="D52" s="2">
        <v>0.01</v>
      </c>
      <c r="E52" s="2">
        <v>0.04</v>
      </c>
      <c r="G52" s="2">
        <v>4.91</v>
      </c>
      <c r="H52" s="2">
        <v>0.14000000000000001</v>
      </c>
      <c r="J52" s="2">
        <v>5</v>
      </c>
      <c r="K52" s="2">
        <v>0.04</v>
      </c>
      <c r="M52" s="2">
        <v>4.8600000000000003</v>
      </c>
      <c r="N52" s="2">
        <v>0.15</v>
      </c>
      <c r="P52" s="2">
        <v>5</v>
      </c>
    </row>
    <row r="53" spans="1:16" x14ac:dyDescent="0.3">
      <c r="A53" t="s">
        <v>25</v>
      </c>
      <c r="B53" s="10">
        <v>0.81668018518518515</v>
      </c>
      <c r="C53" s="2">
        <v>6.57</v>
      </c>
      <c r="D53" s="2">
        <v>0.01</v>
      </c>
      <c r="E53" s="2">
        <v>0.04</v>
      </c>
      <c r="G53" s="2">
        <v>4.8099999999999996</v>
      </c>
      <c r="H53" s="2">
        <v>0.14000000000000001</v>
      </c>
      <c r="J53" s="2">
        <v>4.6399999999999997</v>
      </c>
      <c r="K53" s="2">
        <v>0.04</v>
      </c>
      <c r="M53" s="2">
        <v>4.57</v>
      </c>
      <c r="N53" s="2">
        <v>0.15</v>
      </c>
      <c r="P53" s="2">
        <v>5</v>
      </c>
    </row>
    <row r="54" spans="1:16" x14ac:dyDescent="0.3">
      <c r="A54" t="s">
        <v>25</v>
      </c>
      <c r="B54" s="13">
        <v>0.8166917592592593</v>
      </c>
      <c r="C54" s="2">
        <v>6.57</v>
      </c>
      <c r="D54" s="2">
        <v>0.01</v>
      </c>
      <c r="E54" s="2">
        <v>0.04</v>
      </c>
      <c r="G54" s="2">
        <v>5.09</v>
      </c>
      <c r="H54" s="2">
        <v>0.14000000000000001</v>
      </c>
      <c r="J54" s="2">
        <v>4.71</v>
      </c>
      <c r="K54" s="2">
        <v>0.05</v>
      </c>
      <c r="M54" s="2">
        <v>4.8899999999999997</v>
      </c>
      <c r="N54" s="2">
        <v>0.15</v>
      </c>
      <c r="P54" s="2">
        <v>5</v>
      </c>
    </row>
    <row r="55" spans="1:16" x14ac:dyDescent="0.3">
      <c r="A55" t="s">
        <v>25</v>
      </c>
      <c r="B55" s="10">
        <v>0.81670333333333334</v>
      </c>
      <c r="C55" s="2">
        <v>6.59</v>
      </c>
      <c r="D55" s="2">
        <v>0.01</v>
      </c>
      <c r="E55" s="2">
        <v>0.04</v>
      </c>
      <c r="G55" s="2">
        <v>4.71</v>
      </c>
      <c r="H55" s="2">
        <v>0.14000000000000001</v>
      </c>
      <c r="J55" s="2">
        <v>5.24</v>
      </c>
      <c r="K55" s="2">
        <v>0.05</v>
      </c>
      <c r="M55" s="2">
        <v>4.45</v>
      </c>
      <c r="N55" s="2">
        <v>0.15</v>
      </c>
      <c r="P55" s="2">
        <v>5</v>
      </c>
    </row>
    <row r="56" spans="1:16" x14ac:dyDescent="0.3">
      <c r="A56" t="s">
        <v>25</v>
      </c>
      <c r="B56" s="13">
        <v>0.81671490740740738</v>
      </c>
      <c r="C56" s="2">
        <v>6.76</v>
      </c>
      <c r="D56" s="2">
        <v>0.01</v>
      </c>
      <c r="E56" s="2">
        <v>0.04</v>
      </c>
      <c r="G56" s="2">
        <v>5.0599999999999996</v>
      </c>
      <c r="H56" s="2">
        <v>0.14000000000000001</v>
      </c>
      <c r="J56" s="2">
        <v>4.6500000000000004</v>
      </c>
      <c r="K56" s="2">
        <v>0.04</v>
      </c>
      <c r="M56" s="2">
        <v>4.71</v>
      </c>
      <c r="N56" s="2">
        <v>0.15</v>
      </c>
      <c r="P56" s="2">
        <v>5</v>
      </c>
    </row>
    <row r="57" spans="1:16" x14ac:dyDescent="0.3">
      <c r="A57" t="s">
        <v>25</v>
      </c>
      <c r="B57" s="10">
        <v>0.81672648148148153</v>
      </c>
      <c r="C57" s="2">
        <v>6.76</v>
      </c>
      <c r="D57" s="2">
        <v>0.01</v>
      </c>
      <c r="E57" s="2">
        <v>0.04</v>
      </c>
      <c r="G57" s="2">
        <v>4.7699999999999996</v>
      </c>
      <c r="H57" s="2">
        <v>0.14000000000000001</v>
      </c>
      <c r="J57" s="2">
        <v>5</v>
      </c>
      <c r="K57" s="2">
        <v>0.04</v>
      </c>
      <c r="M57" s="2">
        <v>4.59</v>
      </c>
      <c r="N57" s="2">
        <v>0.15</v>
      </c>
      <c r="P57" s="2">
        <v>5</v>
      </c>
    </row>
    <row r="58" spans="1:16" x14ac:dyDescent="0.3">
      <c r="A58" t="s">
        <v>25</v>
      </c>
      <c r="B58" s="13">
        <v>0.81673805555555556</v>
      </c>
      <c r="C58" s="2">
        <v>6.76</v>
      </c>
      <c r="D58" s="2">
        <v>0.01</v>
      </c>
      <c r="E58" s="2">
        <v>0.04</v>
      </c>
      <c r="G58" s="2">
        <v>4.96</v>
      </c>
      <c r="H58" s="2">
        <v>0.14000000000000001</v>
      </c>
      <c r="J58" s="2">
        <v>4.63</v>
      </c>
      <c r="K58" s="2">
        <v>0.04</v>
      </c>
      <c r="M58" s="2">
        <v>4.5599999999999996</v>
      </c>
      <c r="N58" s="2">
        <v>0.15</v>
      </c>
      <c r="P58" s="2">
        <v>5</v>
      </c>
    </row>
    <row r="59" spans="1:16" x14ac:dyDescent="0.3">
      <c r="A59" t="s">
        <v>25</v>
      </c>
      <c r="B59" s="10">
        <v>0.8167496296296296</v>
      </c>
      <c r="C59" s="2">
        <v>6.76</v>
      </c>
      <c r="D59" s="2">
        <v>0.01</v>
      </c>
      <c r="E59" s="2">
        <v>0.04</v>
      </c>
      <c r="G59" s="2">
        <v>5.01</v>
      </c>
      <c r="H59" s="2">
        <v>0.14000000000000001</v>
      </c>
      <c r="J59" s="2">
        <v>4.92</v>
      </c>
      <c r="K59" s="2">
        <v>0.04</v>
      </c>
      <c r="M59" s="2">
        <v>4.88</v>
      </c>
      <c r="N59" s="2">
        <v>0.15</v>
      </c>
      <c r="P59" s="2">
        <v>5</v>
      </c>
    </row>
    <row r="60" spans="1:16" x14ac:dyDescent="0.3">
      <c r="A60" t="s">
        <v>25</v>
      </c>
      <c r="B60" s="13">
        <v>0.81676120370370375</v>
      </c>
      <c r="C60" s="2">
        <v>6.76</v>
      </c>
      <c r="D60" s="2">
        <v>0.01</v>
      </c>
      <c r="E60" s="2">
        <v>0.04</v>
      </c>
      <c r="G60" s="2">
        <v>4.8099999999999996</v>
      </c>
      <c r="H60" s="2">
        <v>0.14000000000000001</v>
      </c>
      <c r="J60" s="2">
        <v>4.7300000000000004</v>
      </c>
      <c r="K60" s="2">
        <v>0.05</v>
      </c>
      <c r="M60" s="2">
        <v>4.66</v>
      </c>
      <c r="N60" s="2">
        <v>0.15</v>
      </c>
      <c r="P60" s="2">
        <v>5</v>
      </c>
    </row>
    <row r="61" spans="1:16" x14ac:dyDescent="0.3">
      <c r="A61" t="s">
        <v>25</v>
      </c>
      <c r="B61" s="10">
        <v>0.81677277777777779</v>
      </c>
      <c r="C61" s="2">
        <v>6.76</v>
      </c>
      <c r="D61" s="2">
        <v>0.01</v>
      </c>
      <c r="E61" s="2">
        <v>0.04</v>
      </c>
      <c r="G61" s="2">
        <v>5.12</v>
      </c>
      <c r="H61" s="2">
        <v>0.14000000000000001</v>
      </c>
      <c r="J61" s="2">
        <v>4.8600000000000003</v>
      </c>
      <c r="K61" s="2">
        <v>0.05</v>
      </c>
      <c r="M61" s="2">
        <v>4.84</v>
      </c>
      <c r="N61" s="2">
        <v>0.15</v>
      </c>
      <c r="P61" s="2">
        <v>5</v>
      </c>
    </row>
    <row r="62" spans="1:16" x14ac:dyDescent="0.3">
      <c r="A62" t="s">
        <v>25</v>
      </c>
      <c r="B62" s="13">
        <v>0.81678435185185183</v>
      </c>
      <c r="C62" s="2">
        <v>6.76</v>
      </c>
      <c r="D62" s="2">
        <v>0.01</v>
      </c>
      <c r="E62" s="2">
        <v>0.04</v>
      </c>
      <c r="G62" s="2">
        <v>4.7699999999999996</v>
      </c>
      <c r="H62" s="2">
        <v>0.14000000000000001</v>
      </c>
      <c r="J62" s="2">
        <v>5.19</v>
      </c>
      <c r="K62" s="2">
        <v>0.04</v>
      </c>
      <c r="M62" s="2">
        <v>4.46</v>
      </c>
      <c r="N62" s="2">
        <v>0.15</v>
      </c>
      <c r="P62" s="2">
        <v>5</v>
      </c>
    </row>
    <row r="63" spans="1:16" x14ac:dyDescent="0.3">
      <c r="A63" t="s">
        <v>25</v>
      </c>
      <c r="B63" s="10">
        <v>0.81679592592592598</v>
      </c>
      <c r="C63" s="2">
        <v>6.76</v>
      </c>
      <c r="D63" s="2">
        <v>0.01</v>
      </c>
      <c r="E63" s="2">
        <v>0.04</v>
      </c>
      <c r="G63" s="2">
        <v>4.99</v>
      </c>
      <c r="H63" s="2">
        <v>0.14000000000000001</v>
      </c>
      <c r="J63" s="2">
        <v>4.6399999999999997</v>
      </c>
      <c r="K63" s="2">
        <v>0.05</v>
      </c>
      <c r="M63" s="2">
        <v>4.62</v>
      </c>
      <c r="N63" s="2">
        <v>0.15</v>
      </c>
      <c r="P63" s="2">
        <v>5</v>
      </c>
    </row>
    <row r="64" spans="1:16" x14ac:dyDescent="0.3">
      <c r="A64" t="s">
        <v>25</v>
      </c>
      <c r="B64" s="13">
        <v>0.81680750000000002</v>
      </c>
      <c r="C64" s="2">
        <v>6.76</v>
      </c>
      <c r="D64" s="2">
        <v>0.01</v>
      </c>
      <c r="E64" s="2">
        <v>0.04</v>
      </c>
      <c r="G64" s="2">
        <v>4.82</v>
      </c>
      <c r="H64" s="2">
        <v>0.14000000000000001</v>
      </c>
      <c r="J64" s="2">
        <v>5.1100000000000003</v>
      </c>
      <c r="K64" s="2">
        <v>0.05</v>
      </c>
      <c r="M64" s="2">
        <v>4.6500000000000004</v>
      </c>
      <c r="N64" s="2">
        <v>0.14000000000000001</v>
      </c>
      <c r="P64" s="2">
        <v>5</v>
      </c>
    </row>
    <row r="65" spans="1:16" x14ac:dyDescent="0.3">
      <c r="A65" t="s">
        <v>25</v>
      </c>
      <c r="B65" s="10">
        <v>0.81681907407407406</v>
      </c>
      <c r="C65" s="2">
        <v>6.76</v>
      </c>
      <c r="D65" s="2">
        <v>0.01</v>
      </c>
      <c r="E65" s="2">
        <v>0.04</v>
      </c>
      <c r="G65" s="2">
        <v>4.88</v>
      </c>
      <c r="H65" s="2">
        <v>0.14000000000000001</v>
      </c>
      <c r="J65" s="2">
        <v>4.62</v>
      </c>
      <c r="K65" s="2">
        <v>0.05</v>
      </c>
      <c r="M65" s="2">
        <v>4.6399999999999997</v>
      </c>
      <c r="N65" s="2">
        <v>0.15</v>
      </c>
      <c r="P65" s="2">
        <v>5</v>
      </c>
    </row>
    <row r="66" spans="1:16" x14ac:dyDescent="0.3">
      <c r="A66" t="s">
        <v>25</v>
      </c>
      <c r="B66" s="13">
        <v>0.8168306481481481</v>
      </c>
      <c r="C66" s="2">
        <v>6.76</v>
      </c>
      <c r="D66" s="2">
        <v>0.01</v>
      </c>
      <c r="E66" s="2">
        <v>0.04</v>
      </c>
      <c r="G66" s="2">
        <v>5.01</v>
      </c>
      <c r="H66" s="2">
        <v>0.14000000000000001</v>
      </c>
      <c r="J66" s="2">
        <v>5.01</v>
      </c>
      <c r="K66" s="2">
        <v>0.05</v>
      </c>
      <c r="M66" s="2">
        <v>5.1100000000000003</v>
      </c>
      <c r="N66" s="2">
        <v>0.15</v>
      </c>
      <c r="P66" s="2">
        <v>5</v>
      </c>
    </row>
    <row r="67" spans="1:16" x14ac:dyDescent="0.3">
      <c r="A67" t="s">
        <v>25</v>
      </c>
      <c r="B67" s="10">
        <v>0.81684222222222225</v>
      </c>
      <c r="C67" s="2">
        <v>6.76</v>
      </c>
      <c r="D67" s="2">
        <v>0.01</v>
      </c>
      <c r="E67" s="2">
        <v>0.04</v>
      </c>
      <c r="G67" s="2">
        <v>4.8099999999999996</v>
      </c>
      <c r="H67" s="2">
        <v>0.14000000000000001</v>
      </c>
      <c r="J67" s="2">
        <v>4.8</v>
      </c>
      <c r="K67" s="2">
        <v>0.05</v>
      </c>
      <c r="M67" s="2">
        <v>4.3099999999999996</v>
      </c>
      <c r="N67" s="2">
        <v>0.15</v>
      </c>
      <c r="P67" s="2">
        <v>5</v>
      </c>
    </row>
    <row r="68" spans="1:16" x14ac:dyDescent="0.3">
      <c r="A68" t="s">
        <v>25</v>
      </c>
      <c r="B68" s="13">
        <v>0.81685379629629629</v>
      </c>
      <c r="C68" s="2">
        <v>6.76</v>
      </c>
      <c r="D68" s="2">
        <v>0.01</v>
      </c>
      <c r="E68" s="2">
        <v>0.04</v>
      </c>
      <c r="G68" s="2">
        <v>5.12</v>
      </c>
      <c r="H68" s="2">
        <v>0.14000000000000001</v>
      </c>
      <c r="J68" s="2">
        <v>4.79</v>
      </c>
      <c r="K68" s="2">
        <v>0.05</v>
      </c>
      <c r="M68" s="2">
        <v>4.76</v>
      </c>
      <c r="N68" s="2">
        <v>0.15</v>
      </c>
      <c r="P68" s="2">
        <v>5</v>
      </c>
    </row>
    <row r="69" spans="1:16" x14ac:dyDescent="0.3">
      <c r="A69" t="s">
        <v>25</v>
      </c>
      <c r="B69" s="10">
        <v>0.81686537037037033</v>
      </c>
      <c r="C69" s="2">
        <v>6.76</v>
      </c>
      <c r="D69" s="2">
        <v>0.01</v>
      </c>
      <c r="E69" s="2">
        <v>0.04</v>
      </c>
      <c r="G69" s="2">
        <v>4.7</v>
      </c>
      <c r="H69" s="2">
        <v>0.14000000000000001</v>
      </c>
      <c r="J69" s="2">
        <v>5.01</v>
      </c>
      <c r="K69" s="2">
        <v>0.04</v>
      </c>
      <c r="M69" s="2">
        <v>4.4000000000000004</v>
      </c>
      <c r="N69" s="2">
        <v>0.15</v>
      </c>
      <c r="P69" s="2">
        <v>5</v>
      </c>
    </row>
    <row r="70" spans="1:16" x14ac:dyDescent="0.3">
      <c r="A70" t="s">
        <v>25</v>
      </c>
      <c r="B70" s="13">
        <v>0.81687694444444447</v>
      </c>
      <c r="C70" s="2">
        <v>6.76</v>
      </c>
      <c r="D70" s="2">
        <v>0.01</v>
      </c>
      <c r="E70" s="2">
        <v>0.04</v>
      </c>
      <c r="G70" s="2">
        <v>4.9800000000000004</v>
      </c>
      <c r="H70" s="2">
        <v>0.14000000000000001</v>
      </c>
      <c r="J70" s="2">
        <v>4.9000000000000004</v>
      </c>
      <c r="K70" s="2">
        <v>0.05</v>
      </c>
      <c r="M70" s="2">
        <v>4.57</v>
      </c>
      <c r="N70" s="2">
        <v>0.15</v>
      </c>
      <c r="P70" s="2">
        <v>5</v>
      </c>
    </row>
    <row r="71" spans="1:16" x14ac:dyDescent="0.3">
      <c r="A71" t="s">
        <v>25</v>
      </c>
      <c r="B71" s="10">
        <v>0.81688851851851851</v>
      </c>
      <c r="C71" s="2">
        <v>6.76</v>
      </c>
      <c r="D71" s="2">
        <v>0.01</v>
      </c>
      <c r="E71" s="2">
        <v>0.04</v>
      </c>
      <c r="G71" s="2">
        <v>4.88</v>
      </c>
      <c r="H71" s="2">
        <v>0.14000000000000001</v>
      </c>
      <c r="J71" s="2">
        <v>5.05</v>
      </c>
      <c r="K71" s="2">
        <v>0.04</v>
      </c>
      <c r="M71" s="2">
        <v>4.66</v>
      </c>
      <c r="N71" s="2">
        <v>0.15</v>
      </c>
      <c r="P71" s="2">
        <v>5</v>
      </c>
    </row>
    <row r="72" spans="1:16" x14ac:dyDescent="0.3">
      <c r="A72" t="s">
        <v>25</v>
      </c>
      <c r="B72" s="13">
        <v>0.81690009259259255</v>
      </c>
      <c r="C72" s="2">
        <v>6.76</v>
      </c>
      <c r="D72" s="2">
        <v>0.01</v>
      </c>
      <c r="E72" s="2">
        <v>0.04</v>
      </c>
      <c r="G72" s="2">
        <v>4.84</v>
      </c>
      <c r="H72" s="2">
        <v>0.15</v>
      </c>
      <c r="J72" s="2">
        <v>4.6900000000000004</v>
      </c>
      <c r="K72" s="2">
        <v>0.04</v>
      </c>
      <c r="M72" s="2">
        <v>4.68</v>
      </c>
      <c r="N72" s="2">
        <v>0.15</v>
      </c>
      <c r="P72" s="2">
        <v>5</v>
      </c>
    </row>
    <row r="73" spans="1:16" x14ac:dyDescent="0.3">
      <c r="A73" t="s">
        <v>25</v>
      </c>
      <c r="B73" s="10">
        <v>0.8169116666666667</v>
      </c>
      <c r="C73" s="2">
        <v>6.76</v>
      </c>
      <c r="D73" s="2">
        <v>0.01</v>
      </c>
      <c r="E73" s="2">
        <v>0.04</v>
      </c>
      <c r="G73" s="2">
        <v>5.14</v>
      </c>
      <c r="H73" s="2">
        <v>0.15</v>
      </c>
      <c r="J73" s="2">
        <v>4.8099999999999996</v>
      </c>
      <c r="K73" s="2">
        <v>0.04</v>
      </c>
      <c r="M73" s="2">
        <v>4.9400000000000004</v>
      </c>
      <c r="N73" s="2">
        <v>0.15</v>
      </c>
      <c r="P73" s="2">
        <v>5</v>
      </c>
    </row>
    <row r="74" spans="1:16" x14ac:dyDescent="0.3">
      <c r="A74" t="s">
        <v>25</v>
      </c>
      <c r="B74" s="13">
        <v>0.81692324074074074</v>
      </c>
      <c r="C74" s="2">
        <v>6.76</v>
      </c>
      <c r="D74" s="2">
        <v>0.01</v>
      </c>
      <c r="E74" s="2">
        <v>0.04</v>
      </c>
      <c r="G74" s="2">
        <v>4.84</v>
      </c>
      <c r="H74" s="2">
        <v>0.14000000000000001</v>
      </c>
      <c r="J74" s="2">
        <v>4.8600000000000003</v>
      </c>
      <c r="K74" s="2">
        <v>0.04</v>
      </c>
      <c r="M74" s="2">
        <v>4.3899999999999997</v>
      </c>
      <c r="N74" s="2">
        <v>0.15</v>
      </c>
      <c r="P74" s="2">
        <v>5</v>
      </c>
    </row>
    <row r="75" spans="1:16" x14ac:dyDescent="0.3">
      <c r="A75" t="s">
        <v>25</v>
      </c>
      <c r="B75" s="10">
        <v>0.81693481481481478</v>
      </c>
      <c r="C75" s="2">
        <v>6.76</v>
      </c>
      <c r="D75" s="2">
        <v>0.01</v>
      </c>
      <c r="E75" s="2">
        <v>0.04</v>
      </c>
      <c r="G75" s="2">
        <v>5.19</v>
      </c>
      <c r="H75" s="2">
        <v>0.14000000000000001</v>
      </c>
      <c r="J75" s="2">
        <v>4.84</v>
      </c>
      <c r="K75" s="2">
        <v>0.04</v>
      </c>
      <c r="M75" s="2">
        <v>4.7300000000000004</v>
      </c>
      <c r="N75" s="2">
        <v>0.15</v>
      </c>
      <c r="P75" s="2">
        <v>5</v>
      </c>
    </row>
    <row r="76" spans="1:16" x14ac:dyDescent="0.3">
      <c r="A76" t="s">
        <v>25</v>
      </c>
      <c r="B76" s="13">
        <v>0.81694638888888893</v>
      </c>
      <c r="C76" s="2">
        <v>6.76</v>
      </c>
      <c r="D76" s="2">
        <v>0.01</v>
      </c>
      <c r="E76" s="2">
        <v>0.04</v>
      </c>
      <c r="G76" s="2">
        <v>4.8600000000000003</v>
      </c>
      <c r="H76" s="2">
        <v>0.14000000000000001</v>
      </c>
      <c r="J76" s="2">
        <v>5.31</v>
      </c>
      <c r="K76" s="2">
        <v>0.04</v>
      </c>
      <c r="M76" s="2">
        <v>4.46</v>
      </c>
      <c r="N76" s="2">
        <v>0.15</v>
      </c>
      <c r="P76" s="2">
        <v>5</v>
      </c>
    </row>
    <row r="77" spans="1:16" x14ac:dyDescent="0.3">
      <c r="A77" t="s">
        <v>25</v>
      </c>
      <c r="B77" s="10">
        <v>0.81695796296296297</v>
      </c>
      <c r="C77" s="2">
        <v>6.76</v>
      </c>
      <c r="D77" s="2">
        <v>0.01</v>
      </c>
      <c r="E77" s="2">
        <v>0.04</v>
      </c>
      <c r="G77" s="2">
        <v>4.99</v>
      </c>
      <c r="H77" s="2">
        <v>0.15</v>
      </c>
      <c r="J77" s="2">
        <v>4.6500000000000004</v>
      </c>
      <c r="K77" s="2">
        <v>0.05</v>
      </c>
      <c r="M77" s="2">
        <v>4.7</v>
      </c>
      <c r="N77" s="2">
        <v>0.15</v>
      </c>
      <c r="P77" s="2">
        <v>5</v>
      </c>
    </row>
    <row r="78" spans="1:16" x14ac:dyDescent="0.3">
      <c r="A78" t="s">
        <v>25</v>
      </c>
      <c r="B78" s="13">
        <v>0.81696953703703701</v>
      </c>
      <c r="C78" s="2">
        <v>6.76</v>
      </c>
      <c r="D78" s="2">
        <v>0.01</v>
      </c>
      <c r="E78" s="2">
        <v>0.04</v>
      </c>
      <c r="G78" s="2">
        <v>5.1100000000000003</v>
      </c>
      <c r="H78" s="2">
        <v>0.14000000000000001</v>
      </c>
      <c r="J78" s="2">
        <v>4.9800000000000004</v>
      </c>
      <c r="K78" s="2">
        <v>0.05</v>
      </c>
      <c r="M78" s="2">
        <v>4.67</v>
      </c>
      <c r="N78" s="2">
        <v>0.15</v>
      </c>
      <c r="P78" s="2">
        <v>5</v>
      </c>
    </row>
    <row r="79" spans="1:16" x14ac:dyDescent="0.3">
      <c r="A79" t="s">
        <v>25</v>
      </c>
      <c r="B79" s="10">
        <v>0.81698111111111116</v>
      </c>
      <c r="C79" s="2">
        <v>6.76</v>
      </c>
      <c r="D79" s="2">
        <v>0.01</v>
      </c>
      <c r="E79" s="2">
        <v>0.04</v>
      </c>
      <c r="G79" s="2">
        <v>4.8099999999999996</v>
      </c>
      <c r="H79" s="2">
        <v>0.14000000000000001</v>
      </c>
      <c r="J79" s="2">
        <v>4.67</v>
      </c>
      <c r="K79" s="2">
        <v>0.05</v>
      </c>
      <c r="M79" s="2">
        <v>4.5</v>
      </c>
      <c r="N79" s="2">
        <v>0.15</v>
      </c>
      <c r="P79" s="2">
        <v>5</v>
      </c>
    </row>
    <row r="80" spans="1:16" x14ac:dyDescent="0.3">
      <c r="A80" t="s">
        <v>25</v>
      </c>
      <c r="B80" s="13">
        <v>0.8169926851851852</v>
      </c>
      <c r="C80" s="2">
        <v>6.76</v>
      </c>
      <c r="D80" s="2">
        <v>0.01</v>
      </c>
      <c r="E80" s="2">
        <v>0.04</v>
      </c>
      <c r="G80" s="2">
        <v>5.25</v>
      </c>
      <c r="H80" s="2">
        <v>0.14000000000000001</v>
      </c>
      <c r="J80" s="2">
        <v>4.82</v>
      </c>
      <c r="K80" s="2">
        <v>0.04</v>
      </c>
      <c r="M80" s="2">
        <v>4.79</v>
      </c>
      <c r="N80" s="2">
        <v>0.15</v>
      </c>
      <c r="P80" s="2">
        <v>5</v>
      </c>
    </row>
    <row r="81" spans="1:16" x14ac:dyDescent="0.3">
      <c r="A81" t="s">
        <v>25</v>
      </c>
      <c r="B81" s="10">
        <v>0.81700425925925924</v>
      </c>
      <c r="C81" s="2">
        <v>6.76</v>
      </c>
      <c r="D81" s="2">
        <v>0.01</v>
      </c>
      <c r="E81" s="2">
        <v>0.04</v>
      </c>
      <c r="G81" s="2">
        <v>4.83</v>
      </c>
      <c r="H81" s="2">
        <v>0.14000000000000001</v>
      </c>
      <c r="J81" s="2">
        <v>4.8899999999999997</v>
      </c>
      <c r="K81" s="2">
        <v>0.05</v>
      </c>
      <c r="M81" s="2">
        <v>4.42</v>
      </c>
      <c r="N81" s="2">
        <v>0.15</v>
      </c>
      <c r="P81" s="2">
        <v>5</v>
      </c>
    </row>
    <row r="82" spans="1:16" x14ac:dyDescent="0.3">
      <c r="A82" t="s">
        <v>25</v>
      </c>
      <c r="B82" s="13">
        <v>0.81701583333333339</v>
      </c>
      <c r="C82" s="2">
        <v>6.76</v>
      </c>
      <c r="D82" s="2">
        <v>0.01</v>
      </c>
      <c r="E82" s="2">
        <v>0.04</v>
      </c>
      <c r="G82" s="2">
        <v>5.2</v>
      </c>
      <c r="H82" s="2">
        <v>0.14000000000000001</v>
      </c>
      <c r="J82" s="2">
        <v>4.91</v>
      </c>
      <c r="K82" s="2">
        <v>0.04</v>
      </c>
      <c r="M82" s="2">
        <v>4.7300000000000004</v>
      </c>
      <c r="N82" s="2">
        <v>0.15</v>
      </c>
      <c r="P82" s="2">
        <v>5</v>
      </c>
    </row>
    <row r="83" spans="1:16" x14ac:dyDescent="0.3">
      <c r="A83" t="s">
        <v>25</v>
      </c>
      <c r="B83" s="10">
        <v>0.81702740740740742</v>
      </c>
      <c r="C83" s="2">
        <v>6.76</v>
      </c>
      <c r="D83" s="2">
        <v>0.01</v>
      </c>
      <c r="E83" s="2">
        <v>0.04</v>
      </c>
      <c r="G83" s="2">
        <v>4.9400000000000004</v>
      </c>
      <c r="H83" s="2">
        <v>0.14000000000000001</v>
      </c>
      <c r="J83" s="2">
        <v>4.93</v>
      </c>
      <c r="K83" s="2">
        <v>0.04</v>
      </c>
      <c r="M83" s="2">
        <v>4.4800000000000004</v>
      </c>
      <c r="N83" s="2">
        <v>0.15</v>
      </c>
      <c r="P83" s="2">
        <v>5</v>
      </c>
    </row>
    <row r="84" spans="1:16" x14ac:dyDescent="0.3">
      <c r="A84" t="s">
        <v>25</v>
      </c>
      <c r="B84" s="13">
        <v>0.81703898148148146</v>
      </c>
      <c r="C84" s="2">
        <v>6.76</v>
      </c>
      <c r="D84" s="2">
        <v>0.01</v>
      </c>
      <c r="E84" s="2">
        <v>0.04</v>
      </c>
      <c r="G84" s="2">
        <v>4.9400000000000004</v>
      </c>
      <c r="H84" s="2">
        <v>0.14000000000000001</v>
      </c>
      <c r="J84" s="2">
        <v>4.5999999999999996</v>
      </c>
      <c r="K84" s="2">
        <v>0.04</v>
      </c>
      <c r="M84" s="2">
        <v>4.59</v>
      </c>
      <c r="N84" s="2">
        <v>0.15</v>
      </c>
      <c r="P84" s="2">
        <v>5</v>
      </c>
    </row>
    <row r="85" spans="1:16" x14ac:dyDescent="0.3">
      <c r="A85" t="s">
        <v>25</v>
      </c>
      <c r="B85" s="10">
        <v>0.8170505555555555</v>
      </c>
      <c r="C85" s="2">
        <v>6.74</v>
      </c>
      <c r="D85" s="2">
        <v>0.01</v>
      </c>
      <c r="E85" s="2">
        <v>0.04</v>
      </c>
      <c r="G85" s="2">
        <v>5.15</v>
      </c>
      <c r="H85" s="2">
        <v>0.14000000000000001</v>
      </c>
      <c r="J85" s="2">
        <v>4.82</v>
      </c>
      <c r="K85" s="2">
        <v>0.04</v>
      </c>
      <c r="M85" s="2">
        <v>4.91</v>
      </c>
      <c r="N85" s="2">
        <v>0.15</v>
      </c>
      <c r="P85" s="2">
        <v>5</v>
      </c>
    </row>
    <row r="86" spans="1:16" x14ac:dyDescent="0.3">
      <c r="A86" t="s">
        <v>25</v>
      </c>
      <c r="B86" s="13">
        <v>0.81706212962962965</v>
      </c>
      <c r="C86" s="2">
        <v>6.61</v>
      </c>
      <c r="D86" s="2">
        <v>0.01</v>
      </c>
      <c r="E86" s="2">
        <v>0.04</v>
      </c>
      <c r="G86" s="2">
        <v>4.83</v>
      </c>
      <c r="H86" s="2">
        <v>0.14000000000000001</v>
      </c>
      <c r="J86" s="2">
        <v>4.6900000000000004</v>
      </c>
      <c r="K86" s="2">
        <v>0.04</v>
      </c>
      <c r="M86" s="2">
        <v>4.51</v>
      </c>
      <c r="N86" s="2">
        <v>0.15</v>
      </c>
      <c r="P86" s="2">
        <v>5</v>
      </c>
    </row>
    <row r="87" spans="1:16" x14ac:dyDescent="0.3">
      <c r="A87" t="s">
        <v>25</v>
      </c>
      <c r="B87" s="10">
        <v>0.81707370370370369</v>
      </c>
      <c r="C87" s="2">
        <v>6.61</v>
      </c>
      <c r="D87" s="2">
        <v>0.01</v>
      </c>
      <c r="E87" s="2">
        <v>0.04</v>
      </c>
      <c r="G87" s="2">
        <v>5.29</v>
      </c>
      <c r="H87" s="2">
        <v>0.14000000000000001</v>
      </c>
      <c r="J87" s="2">
        <v>4.71</v>
      </c>
      <c r="K87" s="2">
        <v>0.04</v>
      </c>
      <c r="M87" s="2">
        <v>4.74</v>
      </c>
      <c r="N87" s="2">
        <v>0.15</v>
      </c>
      <c r="P87" s="2">
        <v>5</v>
      </c>
    </row>
    <row r="88" spans="1:16" x14ac:dyDescent="0.3">
      <c r="A88" t="s">
        <v>25</v>
      </c>
      <c r="B88" s="13">
        <v>0.81708527777777773</v>
      </c>
      <c r="C88" s="2">
        <v>6.61</v>
      </c>
      <c r="D88" s="2">
        <v>0.01</v>
      </c>
      <c r="E88" s="2">
        <v>0.04</v>
      </c>
      <c r="G88" s="2">
        <v>4.83</v>
      </c>
      <c r="H88" s="2">
        <v>0.15</v>
      </c>
      <c r="J88" s="2">
        <v>4.7300000000000004</v>
      </c>
      <c r="K88" s="2">
        <v>0.05</v>
      </c>
      <c r="M88" s="2">
        <v>4.33</v>
      </c>
      <c r="N88" s="2">
        <v>0.15</v>
      </c>
      <c r="P88" s="2">
        <v>5</v>
      </c>
    </row>
    <row r="89" spans="1:16" x14ac:dyDescent="0.3">
      <c r="A89" t="s">
        <v>25</v>
      </c>
      <c r="B89" s="10">
        <v>0.81709685185185188</v>
      </c>
      <c r="C89" s="2">
        <v>6.61</v>
      </c>
      <c r="D89" s="2">
        <v>0.01</v>
      </c>
      <c r="E89" s="2">
        <v>0.04</v>
      </c>
      <c r="G89" s="2">
        <v>5.13</v>
      </c>
      <c r="H89" s="2">
        <v>0.14000000000000001</v>
      </c>
      <c r="J89" s="2">
        <v>4.55</v>
      </c>
      <c r="K89" s="2">
        <v>0.04</v>
      </c>
      <c r="M89" s="2">
        <v>4.7300000000000004</v>
      </c>
      <c r="N89" s="2">
        <v>0.15</v>
      </c>
      <c r="P89" s="2">
        <v>5</v>
      </c>
    </row>
    <row r="90" spans="1:16" x14ac:dyDescent="0.3">
      <c r="A90" t="s">
        <v>25</v>
      </c>
      <c r="B90" s="13">
        <v>0.81710842592592592</v>
      </c>
      <c r="C90" s="2">
        <v>6.61</v>
      </c>
      <c r="D90" s="2">
        <v>0.01</v>
      </c>
      <c r="E90" s="2">
        <v>0.04</v>
      </c>
      <c r="G90" s="2">
        <v>4.99</v>
      </c>
      <c r="H90" s="2">
        <v>0.15</v>
      </c>
      <c r="J90" s="2">
        <v>4.6100000000000003</v>
      </c>
      <c r="K90" s="2">
        <v>0.04</v>
      </c>
      <c r="M90" s="2">
        <v>4.53</v>
      </c>
      <c r="N90" s="2">
        <v>0.15</v>
      </c>
      <c r="P90" s="2">
        <v>5</v>
      </c>
    </row>
    <row r="91" spans="1:16" x14ac:dyDescent="0.3">
      <c r="A91" t="s">
        <v>25</v>
      </c>
      <c r="B91" s="10">
        <v>0.81711999999999996</v>
      </c>
      <c r="C91" s="2">
        <v>6.58</v>
      </c>
      <c r="D91" s="2">
        <v>0.01</v>
      </c>
      <c r="E91" s="2">
        <v>0.04</v>
      </c>
      <c r="G91" s="2">
        <v>4.9000000000000004</v>
      </c>
      <c r="H91" s="2">
        <v>0.14000000000000001</v>
      </c>
      <c r="J91" s="2">
        <v>4.41</v>
      </c>
      <c r="K91" s="2">
        <v>0.04</v>
      </c>
      <c r="M91" s="2">
        <v>4.63</v>
      </c>
      <c r="N91" s="2">
        <v>0.15</v>
      </c>
      <c r="P91" s="2">
        <v>5</v>
      </c>
    </row>
    <row r="92" spans="1:16" x14ac:dyDescent="0.3">
      <c r="A92" t="s">
        <v>25</v>
      </c>
      <c r="B92" s="13">
        <v>0.81713157407407411</v>
      </c>
      <c r="C92" s="2">
        <v>6.58</v>
      </c>
      <c r="D92" s="2">
        <v>0.01</v>
      </c>
      <c r="E92" s="2">
        <v>0.04</v>
      </c>
      <c r="G92" s="2">
        <v>5.21</v>
      </c>
      <c r="H92" s="2">
        <v>0.14000000000000001</v>
      </c>
      <c r="J92" s="2">
        <v>4.53</v>
      </c>
      <c r="K92" s="2">
        <v>0.05</v>
      </c>
      <c r="M92" s="2">
        <v>4.92</v>
      </c>
      <c r="N92" s="2">
        <v>0.15</v>
      </c>
      <c r="P92" s="2">
        <v>5</v>
      </c>
    </row>
    <row r="93" spans="1:16" x14ac:dyDescent="0.3">
      <c r="A93" t="s">
        <v>25</v>
      </c>
      <c r="B93" s="10">
        <v>0.81714314814814815</v>
      </c>
      <c r="C93" s="2">
        <v>6.58</v>
      </c>
      <c r="D93" s="2">
        <v>0.01</v>
      </c>
      <c r="E93" s="2">
        <v>0.04</v>
      </c>
      <c r="G93" s="2">
        <v>4.83</v>
      </c>
      <c r="H93" s="2">
        <v>0.14000000000000001</v>
      </c>
      <c r="J93" s="2">
        <v>4.51</v>
      </c>
      <c r="K93" s="2">
        <v>0.05</v>
      </c>
      <c r="M93" s="2">
        <v>4.49</v>
      </c>
      <c r="N93" s="2">
        <v>0.15</v>
      </c>
      <c r="P93" s="2">
        <v>5</v>
      </c>
    </row>
    <row r="94" spans="1:16" x14ac:dyDescent="0.3">
      <c r="A94" t="s">
        <v>25</v>
      </c>
      <c r="B94" s="13">
        <v>0.81715472222222219</v>
      </c>
      <c r="C94" s="2">
        <v>6.58</v>
      </c>
      <c r="D94" s="2">
        <v>0.01</v>
      </c>
      <c r="E94" s="2">
        <v>0.04</v>
      </c>
      <c r="G94" s="2">
        <v>5.29</v>
      </c>
      <c r="H94" s="2">
        <v>0.14000000000000001</v>
      </c>
      <c r="J94" s="2">
        <v>4.4400000000000004</v>
      </c>
      <c r="K94" s="2">
        <v>0.05</v>
      </c>
      <c r="M94" s="2">
        <v>4.79</v>
      </c>
      <c r="N94" s="2">
        <v>0.15</v>
      </c>
      <c r="P94" s="2">
        <v>5</v>
      </c>
    </row>
    <row r="95" spans="1:16" x14ac:dyDescent="0.3">
      <c r="A95" t="s">
        <v>25</v>
      </c>
      <c r="B95" s="10">
        <v>0.81716629629629634</v>
      </c>
      <c r="C95" s="2">
        <v>6.47</v>
      </c>
      <c r="D95" s="2">
        <v>0.01</v>
      </c>
      <c r="E95" s="2">
        <v>0.04</v>
      </c>
      <c r="G95" s="2">
        <v>4.87</v>
      </c>
      <c r="H95" s="2">
        <v>0.14000000000000001</v>
      </c>
      <c r="J95" s="2">
        <v>4.6500000000000004</v>
      </c>
      <c r="K95" s="2">
        <v>0.05</v>
      </c>
      <c r="M95" s="2">
        <v>4.45</v>
      </c>
      <c r="N95" s="2">
        <v>0.15</v>
      </c>
      <c r="P95" s="2">
        <v>5</v>
      </c>
    </row>
    <row r="96" spans="1:16" x14ac:dyDescent="0.3">
      <c r="A96" t="s">
        <v>25</v>
      </c>
      <c r="B96" s="13">
        <v>0.81717787037037037</v>
      </c>
      <c r="C96" s="2">
        <v>5.73</v>
      </c>
      <c r="D96" s="2">
        <v>0.01</v>
      </c>
      <c r="E96" s="2">
        <v>0.04</v>
      </c>
      <c r="G96" s="2">
        <v>5.0999999999999996</v>
      </c>
      <c r="H96" s="2">
        <v>0.14000000000000001</v>
      </c>
      <c r="J96" s="2">
        <v>4.32</v>
      </c>
      <c r="K96" s="2">
        <v>0.05</v>
      </c>
      <c r="M96" s="2">
        <v>4.75</v>
      </c>
      <c r="N96" s="2">
        <v>0.15</v>
      </c>
      <c r="P96" s="2">
        <v>5</v>
      </c>
    </row>
    <row r="97" spans="1:16" x14ac:dyDescent="0.3">
      <c r="A97" t="s">
        <v>25</v>
      </c>
      <c r="B97" s="10">
        <v>0.81718944444444441</v>
      </c>
      <c r="C97" s="2">
        <v>5.73</v>
      </c>
      <c r="D97" s="2">
        <v>0.01</v>
      </c>
      <c r="E97" s="2">
        <v>0.04</v>
      </c>
      <c r="G97" s="2">
        <v>5.0199999999999996</v>
      </c>
      <c r="H97" s="2">
        <v>0.14000000000000001</v>
      </c>
      <c r="J97" s="2">
        <v>4.8600000000000003</v>
      </c>
      <c r="K97" s="2">
        <v>0.05</v>
      </c>
      <c r="M97" s="2">
        <v>4.59</v>
      </c>
      <c r="N97" s="2">
        <v>0.15</v>
      </c>
      <c r="P97" s="2">
        <v>5</v>
      </c>
    </row>
    <row r="98" spans="1:16" x14ac:dyDescent="0.3">
      <c r="A98" t="s">
        <v>25</v>
      </c>
      <c r="B98" s="13">
        <v>0.81720101851851856</v>
      </c>
      <c r="C98" s="2">
        <v>5.73</v>
      </c>
      <c r="D98" s="2">
        <v>0.01</v>
      </c>
      <c r="E98" s="2">
        <v>0.04</v>
      </c>
      <c r="G98" s="2">
        <v>4.8600000000000003</v>
      </c>
      <c r="H98" s="2">
        <v>0.14000000000000001</v>
      </c>
      <c r="J98" s="2">
        <v>4.4000000000000004</v>
      </c>
      <c r="K98" s="2">
        <v>0.04</v>
      </c>
      <c r="M98" s="2">
        <v>4.53</v>
      </c>
      <c r="N98" s="2">
        <v>0.15</v>
      </c>
      <c r="P98" s="2">
        <v>5</v>
      </c>
    </row>
    <row r="99" spans="1:16" x14ac:dyDescent="0.3">
      <c r="A99" t="s">
        <v>25</v>
      </c>
      <c r="B99" s="10">
        <v>0.8172125925925926</v>
      </c>
      <c r="C99" s="2">
        <v>5.73</v>
      </c>
      <c r="D99" s="2">
        <v>0.01</v>
      </c>
      <c r="E99" s="2">
        <v>0.04</v>
      </c>
      <c r="G99" s="2">
        <v>5.24</v>
      </c>
      <c r="H99" s="2">
        <v>0.14000000000000001</v>
      </c>
      <c r="J99" s="2">
        <v>4.45</v>
      </c>
      <c r="K99" s="2">
        <v>0.04</v>
      </c>
      <c r="M99" s="2">
        <v>4.9000000000000004</v>
      </c>
      <c r="N99" s="2">
        <v>0.15</v>
      </c>
      <c r="P99" s="2">
        <v>5</v>
      </c>
    </row>
    <row r="100" spans="1:16" x14ac:dyDescent="0.3">
      <c r="A100" t="s">
        <v>25</v>
      </c>
      <c r="B100" s="13">
        <v>0.81722416666666664</v>
      </c>
      <c r="C100" s="2">
        <v>5.63</v>
      </c>
      <c r="D100" s="2">
        <v>0.01</v>
      </c>
      <c r="E100" s="2">
        <v>0.04</v>
      </c>
      <c r="G100" s="2">
        <v>4.8499999999999996</v>
      </c>
      <c r="H100" s="2">
        <v>0.14000000000000001</v>
      </c>
      <c r="J100" s="2">
        <v>4.5599999999999996</v>
      </c>
      <c r="K100" s="2">
        <v>0.05</v>
      </c>
      <c r="M100" s="2">
        <v>4.5</v>
      </c>
      <c r="N100" s="2">
        <v>0.15</v>
      </c>
      <c r="P100" s="2">
        <v>5</v>
      </c>
    </row>
    <row r="101" spans="1:16" x14ac:dyDescent="0.3">
      <c r="A101" t="s">
        <v>25</v>
      </c>
      <c r="B101" s="10">
        <v>0.81723574074074079</v>
      </c>
      <c r="C101" s="2">
        <v>4.9800000000000004</v>
      </c>
      <c r="D101" s="2">
        <v>0.01</v>
      </c>
      <c r="E101" s="2">
        <v>0.04</v>
      </c>
      <c r="G101" s="2">
        <v>5.24</v>
      </c>
      <c r="H101" s="2">
        <v>0.14000000000000001</v>
      </c>
      <c r="J101" s="2">
        <v>4.3899999999999997</v>
      </c>
      <c r="K101" s="2">
        <v>0.05</v>
      </c>
      <c r="M101" s="2">
        <v>4.82</v>
      </c>
      <c r="N101" s="2">
        <v>0.15</v>
      </c>
      <c r="P101" s="2">
        <v>5</v>
      </c>
    </row>
    <row r="102" spans="1:16" x14ac:dyDescent="0.3">
      <c r="A102" t="s">
        <v>25</v>
      </c>
      <c r="B102" s="13">
        <v>0.81724731481481483</v>
      </c>
      <c r="C102" s="2">
        <v>4.9800000000000004</v>
      </c>
      <c r="D102" s="2">
        <v>0.01</v>
      </c>
      <c r="E102" s="2">
        <v>0.04</v>
      </c>
      <c r="G102" s="2">
        <v>4.8899999999999997</v>
      </c>
      <c r="H102" s="2">
        <v>0.14000000000000001</v>
      </c>
      <c r="J102" s="2">
        <v>4.6399999999999997</v>
      </c>
      <c r="K102" s="2">
        <v>0.05</v>
      </c>
      <c r="M102" s="2">
        <v>4.4400000000000004</v>
      </c>
      <c r="N102" s="2">
        <v>0.15</v>
      </c>
      <c r="P102" s="2">
        <v>5</v>
      </c>
    </row>
    <row r="103" spans="1:16" x14ac:dyDescent="0.3">
      <c r="A103" t="s">
        <v>25</v>
      </c>
      <c r="B103" s="10">
        <v>0.81725888888888887</v>
      </c>
      <c r="C103" s="2">
        <v>4.9800000000000004</v>
      </c>
      <c r="D103" s="2">
        <v>0.01</v>
      </c>
      <c r="E103" s="2">
        <v>0.04</v>
      </c>
      <c r="G103" s="2">
        <v>5.04</v>
      </c>
      <c r="H103" s="2">
        <v>0.14000000000000001</v>
      </c>
      <c r="J103" s="2">
        <v>4.38</v>
      </c>
      <c r="K103" s="2">
        <v>0.05</v>
      </c>
      <c r="M103" s="2">
        <v>4.6399999999999997</v>
      </c>
      <c r="N103" s="2">
        <v>0.15</v>
      </c>
      <c r="P103" s="2">
        <v>5</v>
      </c>
    </row>
    <row r="104" spans="1:16" x14ac:dyDescent="0.3">
      <c r="A104" t="s">
        <v>25</v>
      </c>
      <c r="B104" s="13">
        <v>0.81727046296296302</v>
      </c>
      <c r="C104" s="2">
        <v>4.97</v>
      </c>
      <c r="D104" s="2">
        <v>0.01</v>
      </c>
      <c r="E104" s="2">
        <v>0.04</v>
      </c>
      <c r="G104" s="2">
        <v>5.1100000000000003</v>
      </c>
      <c r="H104" s="2">
        <v>0.14000000000000001</v>
      </c>
      <c r="J104" s="2">
        <v>4.58</v>
      </c>
      <c r="K104" s="2">
        <v>0.05</v>
      </c>
      <c r="M104" s="2">
        <v>4.62</v>
      </c>
      <c r="N104" s="2">
        <v>0.15</v>
      </c>
      <c r="P104" s="2">
        <v>5</v>
      </c>
    </row>
    <row r="105" spans="1:16" x14ac:dyDescent="0.3">
      <c r="A105" t="s">
        <v>25</v>
      </c>
      <c r="B105" s="10">
        <v>0.81728203703703706</v>
      </c>
      <c r="C105" s="2">
        <v>4.88</v>
      </c>
      <c r="D105" s="2">
        <v>0.01</v>
      </c>
      <c r="E105" s="2">
        <v>0.04</v>
      </c>
      <c r="G105" s="2">
        <v>4.8499999999999996</v>
      </c>
      <c r="H105" s="2">
        <v>0.14000000000000001</v>
      </c>
      <c r="J105" s="2">
        <v>4.42</v>
      </c>
      <c r="K105" s="2">
        <v>0.04</v>
      </c>
      <c r="M105" s="2">
        <v>4.53</v>
      </c>
      <c r="N105" s="2">
        <v>0.15</v>
      </c>
      <c r="P105" s="2">
        <v>5</v>
      </c>
    </row>
    <row r="106" spans="1:16" x14ac:dyDescent="0.3">
      <c r="A106" t="s">
        <v>25</v>
      </c>
      <c r="B106" s="13">
        <v>0.8172936111111111</v>
      </c>
      <c r="C106" s="2">
        <v>4.32</v>
      </c>
      <c r="D106" s="2">
        <v>0.01</v>
      </c>
      <c r="E106" s="2">
        <v>0.04</v>
      </c>
      <c r="G106" s="2">
        <v>5.26</v>
      </c>
      <c r="H106" s="2">
        <v>0.14000000000000001</v>
      </c>
      <c r="J106" s="2">
        <v>4.8099999999999996</v>
      </c>
      <c r="K106" s="2">
        <v>0.04</v>
      </c>
      <c r="M106" s="2">
        <v>4.95</v>
      </c>
      <c r="N106" s="2">
        <v>0.15</v>
      </c>
      <c r="P106" s="2">
        <v>5</v>
      </c>
    </row>
    <row r="107" spans="1:16" x14ac:dyDescent="0.3">
      <c r="A107" t="s">
        <v>25</v>
      </c>
      <c r="B107" s="10">
        <v>0.81730518518518513</v>
      </c>
      <c r="C107" s="2">
        <v>4.3499999999999996</v>
      </c>
      <c r="D107" s="2">
        <v>0.01</v>
      </c>
      <c r="E107" s="2">
        <v>0.04</v>
      </c>
      <c r="G107" s="2">
        <v>4.8499999999999996</v>
      </c>
      <c r="H107" s="2">
        <v>0.14000000000000001</v>
      </c>
      <c r="J107" s="2">
        <v>4.88</v>
      </c>
      <c r="K107" s="2">
        <v>0.05</v>
      </c>
      <c r="M107" s="2">
        <v>4.41</v>
      </c>
      <c r="N107" s="2">
        <v>0.15</v>
      </c>
      <c r="P107" s="2">
        <v>5</v>
      </c>
    </row>
    <row r="108" spans="1:16" x14ac:dyDescent="0.3">
      <c r="A108" t="s">
        <v>25</v>
      </c>
      <c r="B108" s="13">
        <v>0.81731675925925928</v>
      </c>
      <c r="C108" s="2">
        <v>4.3499999999999996</v>
      </c>
      <c r="D108" s="2">
        <v>0.01</v>
      </c>
      <c r="E108" s="2">
        <v>0.04</v>
      </c>
      <c r="G108" s="2">
        <v>5.23</v>
      </c>
      <c r="H108" s="2">
        <v>0.14000000000000001</v>
      </c>
      <c r="J108" s="2">
        <v>4.7300000000000004</v>
      </c>
      <c r="K108" s="2">
        <v>0.05</v>
      </c>
      <c r="M108" s="2">
        <v>4.68</v>
      </c>
      <c r="N108" s="2">
        <v>0.15</v>
      </c>
      <c r="P108" s="2">
        <v>5</v>
      </c>
    </row>
    <row r="109" spans="1:16" x14ac:dyDescent="0.3">
      <c r="A109" t="s">
        <v>25</v>
      </c>
      <c r="B109" s="10">
        <v>0.81732833333333332</v>
      </c>
      <c r="C109" s="2">
        <v>4.34</v>
      </c>
      <c r="D109" s="2">
        <v>0.01</v>
      </c>
      <c r="E109" s="2">
        <v>0.04</v>
      </c>
      <c r="G109" s="2">
        <v>4.93</v>
      </c>
      <c r="H109" s="2">
        <v>0.14000000000000001</v>
      </c>
      <c r="J109" s="2">
        <v>4.96</v>
      </c>
      <c r="K109" s="2">
        <v>0.04</v>
      </c>
      <c r="M109" s="2">
        <v>4.4400000000000004</v>
      </c>
      <c r="N109" s="2">
        <v>0.15</v>
      </c>
      <c r="P109" s="2">
        <v>5</v>
      </c>
    </row>
    <row r="110" spans="1:16" x14ac:dyDescent="0.3">
      <c r="A110" t="s">
        <v>25</v>
      </c>
      <c r="B110" s="13">
        <v>0.81733990740740736</v>
      </c>
      <c r="C110" s="2">
        <v>4.34</v>
      </c>
      <c r="D110" s="2">
        <v>0.01</v>
      </c>
      <c r="E110" s="2">
        <v>0.04</v>
      </c>
      <c r="G110" s="2">
        <v>5</v>
      </c>
      <c r="H110" s="2">
        <v>0.14000000000000001</v>
      </c>
      <c r="J110" s="2">
        <v>4.7</v>
      </c>
      <c r="K110" s="2">
        <v>0.04</v>
      </c>
      <c r="M110" s="2">
        <v>4.49</v>
      </c>
      <c r="N110" s="2">
        <v>0.15</v>
      </c>
      <c r="P110" s="2">
        <v>5</v>
      </c>
    </row>
    <row r="111" spans="1:16" x14ac:dyDescent="0.3">
      <c r="A111" t="s">
        <v>25</v>
      </c>
      <c r="B111" s="10">
        <v>0.81735148148148151</v>
      </c>
      <c r="C111" s="2">
        <v>4.33</v>
      </c>
      <c r="D111" s="2">
        <v>0.01</v>
      </c>
      <c r="E111" s="2">
        <v>0.04</v>
      </c>
      <c r="G111" s="2">
        <v>5.12</v>
      </c>
      <c r="H111" s="2">
        <v>0.14000000000000001</v>
      </c>
      <c r="J111" s="2">
        <v>4.95</v>
      </c>
      <c r="K111" s="2">
        <v>0.05</v>
      </c>
      <c r="M111" s="2">
        <v>4.68</v>
      </c>
      <c r="N111" s="2">
        <v>0.15</v>
      </c>
      <c r="P111" s="2">
        <v>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9C6FC-3415-4491-AA96-73E5952E4080}">
  <dimension ref="A1:AJ27"/>
  <sheetViews>
    <sheetView tabSelected="1" topLeftCell="O1" workbookViewId="0">
      <selection activeCell="X6" sqref="X6"/>
    </sheetView>
  </sheetViews>
  <sheetFormatPr defaultRowHeight="14.4" x14ac:dyDescent="0.3"/>
  <cols>
    <col min="1" max="1" width="9.5546875" bestFit="1" customWidth="1"/>
    <col min="2" max="2" width="10.77734375" bestFit="1" customWidth="1"/>
    <col min="3" max="3" width="12" bestFit="1" customWidth="1"/>
  </cols>
  <sheetData>
    <row r="1" spans="1:36" x14ac:dyDescent="0.3">
      <c r="A1" s="16">
        <f>80000000/40000</f>
        <v>2000</v>
      </c>
      <c r="B1" t="s">
        <v>34</v>
      </c>
      <c r="F1" t="s">
        <v>36</v>
      </c>
      <c r="G1">
        <f>ROUNDUP(((1-E3)/24),3)</f>
        <v>4.2000000000000003E-2</v>
      </c>
      <c r="H1">
        <v>5</v>
      </c>
      <c r="J1" t="s">
        <v>36</v>
      </c>
      <c r="L1">
        <f>1/((80*10^6)/800000)</f>
        <v>0.01</v>
      </c>
      <c r="M1">
        <f>500*L1</f>
        <v>5</v>
      </c>
    </row>
    <row r="2" spans="1:36" x14ac:dyDescent="0.3">
      <c r="A2" t="s">
        <v>33</v>
      </c>
      <c r="B2" t="s">
        <v>32</v>
      </c>
      <c r="C2" t="s">
        <v>35</v>
      </c>
      <c r="E2" t="s">
        <v>33</v>
      </c>
      <c r="F2" s="7" t="s">
        <v>32</v>
      </c>
      <c r="I2" t="s">
        <v>33</v>
      </c>
      <c r="J2" s="7" t="s">
        <v>32</v>
      </c>
    </row>
    <row r="3" spans="1:36" x14ac:dyDescent="0.3">
      <c r="A3">
        <f>Table2_2[[#This Row],[PWM Values]]/$A$1</f>
        <v>0.02</v>
      </c>
      <c r="B3">
        <v>40</v>
      </c>
      <c r="C3">
        <f t="shared" ref="C3:C26" si="0">A3*2</f>
        <v>0.04</v>
      </c>
      <c r="E3">
        <v>0.01</v>
      </c>
      <c r="F3">
        <f>E3*$A$1</f>
        <v>20</v>
      </c>
      <c r="G3">
        <f t="shared" ref="G3:G9" si="1">A3*$H$1</f>
        <v>0.1</v>
      </c>
      <c r="H3">
        <v>1</v>
      </c>
      <c r="I3">
        <v>0.5139999999999999</v>
      </c>
      <c r="J3">
        <f>I3*$A$1</f>
        <v>1027.9999999999998</v>
      </c>
      <c r="K3">
        <v>0.5139999999999999</v>
      </c>
      <c r="L3">
        <v>0.5139999999999999</v>
      </c>
      <c r="M3">
        <v>0.5139999999999999</v>
      </c>
      <c r="N3">
        <v>0.55599999999999994</v>
      </c>
      <c r="O3">
        <v>0.59799999999999998</v>
      </c>
      <c r="P3">
        <v>0.47199999999999992</v>
      </c>
      <c r="Q3">
        <v>0.42999999999999994</v>
      </c>
      <c r="R3">
        <v>0.38799999999999996</v>
      </c>
      <c r="S3">
        <v>0.30399999999999999</v>
      </c>
      <c r="T3">
        <v>0.34599999999999997</v>
      </c>
      <c r="U3">
        <v>0.22</v>
      </c>
      <c r="V3">
        <v>0.26200000000000001</v>
      </c>
      <c r="W3">
        <v>0.47199999999999992</v>
      </c>
      <c r="X3">
        <v>0.5139999999999999</v>
      </c>
      <c r="Y3">
        <v>0.55599999999999994</v>
      </c>
      <c r="Z3">
        <v>0.59799999999999998</v>
      </c>
      <c r="AA3">
        <v>0.68200000000000005</v>
      </c>
      <c r="AB3">
        <v>0.72400000000000009</v>
      </c>
      <c r="AC3">
        <v>0.76600000000000013</v>
      </c>
      <c r="AD3">
        <v>0.80800000000000016</v>
      </c>
      <c r="AE3">
        <v>0.8500000000000002</v>
      </c>
      <c r="AF3">
        <v>0.89200000000000024</v>
      </c>
      <c r="AG3">
        <v>0.93400000000000027</v>
      </c>
      <c r="AH3">
        <v>0.97600000000000031</v>
      </c>
      <c r="AI3">
        <v>0.80800000000000016</v>
      </c>
      <c r="AJ3">
        <v>0.68200000000000005</v>
      </c>
    </row>
    <row r="4" spans="1:36" x14ac:dyDescent="0.3">
      <c r="A4">
        <f>Table2_2[[#This Row],[PWM Values]]/$A$1</f>
        <v>0.02</v>
      </c>
      <c r="B4">
        <v>40</v>
      </c>
      <c r="C4">
        <f t="shared" si="0"/>
        <v>0.04</v>
      </c>
      <c r="E4">
        <f>E3+$G$1</f>
        <v>5.2000000000000005E-2</v>
      </c>
      <c r="F4">
        <f t="shared" ref="F4:F26" si="2">E4*$A$1</f>
        <v>104.00000000000001</v>
      </c>
      <c r="G4">
        <f t="shared" si="1"/>
        <v>0.1</v>
      </c>
      <c r="I4">
        <v>0.55599999999999994</v>
      </c>
      <c r="J4">
        <f t="shared" ref="J4:J11" si="3">I4*$A$1</f>
        <v>1111.9999999999998</v>
      </c>
      <c r="K4">
        <v>0.55599999999999994</v>
      </c>
      <c r="L4">
        <v>0.55599999999999994</v>
      </c>
      <c r="R4">
        <f>2*3.14159*1.6*10^-3*60</f>
        <v>0.60318528000000016</v>
      </c>
    </row>
    <row r="5" spans="1:36" x14ac:dyDescent="0.3">
      <c r="A5">
        <f>Table2_2[[#This Row],[PWM Values]]/$A$1</f>
        <v>0.02</v>
      </c>
      <c r="B5">
        <v>40</v>
      </c>
      <c r="C5">
        <f t="shared" si="0"/>
        <v>0.04</v>
      </c>
      <c r="E5">
        <f t="shared" ref="E5:E26" si="4">E4+$G$1</f>
        <v>9.4E-2</v>
      </c>
      <c r="F5">
        <f t="shared" si="2"/>
        <v>188</v>
      </c>
      <c r="G5">
        <f t="shared" si="1"/>
        <v>0.1</v>
      </c>
      <c r="I5">
        <v>0.59799999999999998</v>
      </c>
      <c r="J5">
        <f t="shared" si="3"/>
        <v>1196</v>
      </c>
      <c r="K5">
        <v>0.59799999999999998</v>
      </c>
      <c r="L5">
        <v>0.59799999999999998</v>
      </c>
      <c r="R5">
        <f>5/R4</f>
        <v>8.2893269543978239</v>
      </c>
    </row>
    <row r="6" spans="1:36" x14ac:dyDescent="0.3">
      <c r="A6">
        <f>Table2_2[[#This Row],[PWM Values]]/$A$1</f>
        <v>0.02</v>
      </c>
      <c r="B6">
        <v>40</v>
      </c>
      <c r="C6">
        <f t="shared" si="0"/>
        <v>0.04</v>
      </c>
      <c r="E6">
        <f t="shared" si="4"/>
        <v>0.13600000000000001</v>
      </c>
      <c r="F6">
        <f t="shared" si="2"/>
        <v>272</v>
      </c>
      <c r="G6">
        <f t="shared" si="1"/>
        <v>0.1</v>
      </c>
      <c r="I6">
        <v>0.64</v>
      </c>
      <c r="J6">
        <f t="shared" si="3"/>
        <v>1280</v>
      </c>
      <c r="K6">
        <v>0.64</v>
      </c>
      <c r="L6">
        <v>0.47199999999999992</v>
      </c>
      <c r="R6">
        <f>5/(5-(0.2/2)-4.5)</f>
        <v>12.499999999999989</v>
      </c>
    </row>
    <row r="7" spans="1:36" x14ac:dyDescent="0.3">
      <c r="A7">
        <f>Table2_2[[#This Row],[PWM Values]]/$A$1</f>
        <v>0.05</v>
      </c>
      <c r="B7">
        <v>100</v>
      </c>
      <c r="C7">
        <f t="shared" si="0"/>
        <v>0.1</v>
      </c>
      <c r="E7">
        <f t="shared" si="4"/>
        <v>0.17800000000000002</v>
      </c>
      <c r="F7">
        <f t="shared" si="2"/>
        <v>356.00000000000006</v>
      </c>
      <c r="G7">
        <f t="shared" si="1"/>
        <v>0.25</v>
      </c>
      <c r="I7">
        <v>0.01</v>
      </c>
      <c r="J7">
        <f t="shared" si="3"/>
        <v>20</v>
      </c>
      <c r="K7">
        <v>0.01</v>
      </c>
      <c r="L7">
        <v>0.42999999999999994</v>
      </c>
      <c r="R7">
        <f>-5/(5+(0.2/2)-5.5)</f>
        <v>12.499999999999989</v>
      </c>
    </row>
    <row r="8" spans="1:36" x14ac:dyDescent="0.3">
      <c r="A8">
        <f>Table2_2[[#This Row],[PWM Values]]/$A$1</f>
        <v>0.25</v>
      </c>
      <c r="B8">
        <v>500</v>
      </c>
      <c r="C8">
        <f t="shared" si="0"/>
        <v>0.5</v>
      </c>
      <c r="E8">
        <f t="shared" si="4"/>
        <v>0.22000000000000003</v>
      </c>
      <c r="F8">
        <f t="shared" si="2"/>
        <v>440.00000000000006</v>
      </c>
      <c r="G8">
        <f t="shared" si="1"/>
        <v>1.25</v>
      </c>
      <c r="I8">
        <v>0.01</v>
      </c>
      <c r="J8">
        <f t="shared" si="3"/>
        <v>20</v>
      </c>
      <c r="K8">
        <v>0.01</v>
      </c>
      <c r="L8">
        <v>0.38799999999999996</v>
      </c>
    </row>
    <row r="9" spans="1:36" x14ac:dyDescent="0.3">
      <c r="A9">
        <f>Table2_2[[#This Row],[PWM Values]]/$A$1</f>
        <v>0.5</v>
      </c>
      <c r="B9">
        <v>1000</v>
      </c>
      <c r="C9">
        <f t="shared" si="0"/>
        <v>1</v>
      </c>
      <c r="E9">
        <f t="shared" si="4"/>
        <v>0.26200000000000001</v>
      </c>
      <c r="F9">
        <f t="shared" si="2"/>
        <v>524</v>
      </c>
      <c r="G9">
        <f t="shared" si="1"/>
        <v>2.5</v>
      </c>
      <c r="I9">
        <v>0.01</v>
      </c>
      <c r="J9">
        <f t="shared" si="3"/>
        <v>20</v>
      </c>
      <c r="K9">
        <v>0.01</v>
      </c>
      <c r="L9">
        <v>0.30399999999999999</v>
      </c>
    </row>
    <row r="10" spans="1:36" x14ac:dyDescent="0.3">
      <c r="A10">
        <f>Table2_2[[#This Row],[PWM Values]]/$A$1</f>
        <v>0.58050000000000002</v>
      </c>
      <c r="B10">
        <v>1161</v>
      </c>
      <c r="C10">
        <f t="shared" si="0"/>
        <v>1.161</v>
      </c>
      <c r="E10">
        <f t="shared" si="4"/>
        <v>0.30399999999999999</v>
      </c>
      <c r="F10">
        <f t="shared" si="2"/>
        <v>608</v>
      </c>
      <c r="G10">
        <f>A10*$H$1</f>
        <v>2.9024999999999999</v>
      </c>
      <c r="I10">
        <v>0.02</v>
      </c>
      <c r="J10">
        <f t="shared" si="3"/>
        <v>40</v>
      </c>
      <c r="K10">
        <v>0.02</v>
      </c>
      <c r="L10">
        <v>0.34599999999999997</v>
      </c>
    </row>
    <row r="11" spans="1:36" x14ac:dyDescent="0.3">
      <c r="A11">
        <f>Table2_2[[#This Row],[PWM Values]]/$A$1</f>
        <v>0.63649999999999995</v>
      </c>
      <c r="B11">
        <v>1273</v>
      </c>
      <c r="C11">
        <f t="shared" si="0"/>
        <v>1.2729999999999999</v>
      </c>
      <c r="E11">
        <f t="shared" si="4"/>
        <v>0.34599999999999997</v>
      </c>
      <c r="F11">
        <f t="shared" si="2"/>
        <v>692</v>
      </c>
      <c r="G11">
        <f t="shared" ref="G11:G26" si="5">A11*$H$1</f>
        <v>3.1824999999999997</v>
      </c>
      <c r="I11">
        <v>0.02</v>
      </c>
      <c r="J11">
        <f t="shared" si="3"/>
        <v>40</v>
      </c>
      <c r="K11">
        <v>0.02</v>
      </c>
      <c r="L11">
        <v>0.22</v>
      </c>
    </row>
    <row r="12" spans="1:36" x14ac:dyDescent="0.3">
      <c r="A12">
        <f>Table2_2[[#This Row],[PWM Values]]/$A$1</f>
        <v>0.6875</v>
      </c>
      <c r="B12">
        <v>1375</v>
      </c>
      <c r="C12">
        <f t="shared" si="0"/>
        <v>1.375</v>
      </c>
      <c r="E12">
        <f t="shared" si="4"/>
        <v>0.38799999999999996</v>
      </c>
      <c r="F12">
        <f t="shared" si="2"/>
        <v>775.99999999999989</v>
      </c>
      <c r="G12">
        <f t="shared" si="5"/>
        <v>3.4375</v>
      </c>
      <c r="I12">
        <v>0.68200000000000005</v>
      </c>
      <c r="J12">
        <f t="shared" ref="J12:J26" si="6">I12*$A$1</f>
        <v>1364</v>
      </c>
      <c r="K12">
        <v>0.68200000000000005</v>
      </c>
      <c r="L12">
        <v>0.26200000000000001</v>
      </c>
    </row>
    <row r="13" spans="1:36" x14ac:dyDescent="0.3">
      <c r="A13">
        <f>Table2_2[[#This Row],[PWM Values]]/$A$1</f>
        <v>0.77300000000000002</v>
      </c>
      <c r="B13">
        <v>1546</v>
      </c>
      <c r="C13">
        <f t="shared" si="0"/>
        <v>1.546</v>
      </c>
      <c r="E13">
        <f t="shared" si="4"/>
        <v>0.42999999999999994</v>
      </c>
      <c r="F13">
        <f t="shared" si="2"/>
        <v>859.99999999999989</v>
      </c>
      <c r="G13">
        <f t="shared" si="5"/>
        <v>3.8650000000000002</v>
      </c>
      <c r="I13">
        <v>0.72400000000000009</v>
      </c>
      <c r="J13">
        <f t="shared" si="6"/>
        <v>1448.0000000000002</v>
      </c>
      <c r="K13">
        <v>0.72400000000000009</v>
      </c>
      <c r="L13">
        <v>0.47199999999999992</v>
      </c>
    </row>
    <row r="14" spans="1:36" x14ac:dyDescent="0.3">
      <c r="A14">
        <f>Table2_2[[#This Row],[PWM Values]]/$A$1</f>
        <v>0.85699999999999998</v>
      </c>
      <c r="B14">
        <v>1714</v>
      </c>
      <c r="C14">
        <f t="shared" si="0"/>
        <v>1.714</v>
      </c>
      <c r="E14">
        <f t="shared" si="4"/>
        <v>0.47199999999999992</v>
      </c>
      <c r="F14">
        <f t="shared" si="2"/>
        <v>943.99999999999989</v>
      </c>
      <c r="G14">
        <f t="shared" si="5"/>
        <v>4.2850000000000001</v>
      </c>
      <c r="I14">
        <v>0.76600000000000013</v>
      </c>
      <c r="J14">
        <f t="shared" si="6"/>
        <v>1532.0000000000002</v>
      </c>
      <c r="K14">
        <v>0.76600000000000013</v>
      </c>
      <c r="L14">
        <v>0.5139999999999999</v>
      </c>
    </row>
    <row r="15" spans="1:36" x14ac:dyDescent="0.3">
      <c r="A15">
        <f>Table2_2[[#This Row],[PWM Values]]/$A$1</f>
        <v>0.99</v>
      </c>
      <c r="B15">
        <v>1980</v>
      </c>
      <c r="C15">
        <f t="shared" si="0"/>
        <v>1.98</v>
      </c>
      <c r="E15">
        <f t="shared" si="4"/>
        <v>0.5139999999999999</v>
      </c>
      <c r="F15">
        <f t="shared" si="2"/>
        <v>1027.9999999999998</v>
      </c>
      <c r="G15">
        <f t="shared" si="5"/>
        <v>4.95</v>
      </c>
      <c r="I15">
        <v>0.55599999999999994</v>
      </c>
      <c r="J15">
        <f t="shared" si="6"/>
        <v>1111.9999999999998</v>
      </c>
      <c r="K15">
        <v>0.55599999999999994</v>
      </c>
      <c r="L15">
        <v>0.55599999999999994</v>
      </c>
    </row>
    <row r="16" spans="1:36" x14ac:dyDescent="0.3">
      <c r="A16">
        <f>Table2_2[[#This Row],[PWM Values]]/$A$1</f>
        <v>0.99</v>
      </c>
      <c r="B16">
        <v>1980</v>
      </c>
      <c r="C16">
        <f t="shared" si="0"/>
        <v>1.98</v>
      </c>
      <c r="E16">
        <f t="shared" si="4"/>
        <v>0.55599999999999994</v>
      </c>
      <c r="F16">
        <f t="shared" si="2"/>
        <v>1111.9999999999998</v>
      </c>
      <c r="G16">
        <f t="shared" si="5"/>
        <v>4.95</v>
      </c>
      <c r="I16">
        <v>0.59799999999999998</v>
      </c>
      <c r="J16">
        <f t="shared" si="6"/>
        <v>1196</v>
      </c>
      <c r="K16">
        <v>0.59799999999999998</v>
      </c>
      <c r="L16">
        <v>0.59799999999999998</v>
      </c>
    </row>
    <row r="17" spans="1:12" x14ac:dyDescent="0.3">
      <c r="A17">
        <f>Table2_2[[#This Row],[PWM Values]]/$A$1</f>
        <v>0.99</v>
      </c>
      <c r="B17">
        <v>1980</v>
      </c>
      <c r="C17">
        <f t="shared" si="0"/>
        <v>1.98</v>
      </c>
      <c r="E17">
        <f t="shared" si="4"/>
        <v>0.59799999999999998</v>
      </c>
      <c r="F17">
        <f t="shared" si="2"/>
        <v>1196</v>
      </c>
      <c r="G17">
        <f t="shared" si="5"/>
        <v>4.95</v>
      </c>
      <c r="I17">
        <v>0.99</v>
      </c>
      <c r="J17">
        <f t="shared" si="6"/>
        <v>1980</v>
      </c>
      <c r="K17">
        <v>0.99</v>
      </c>
      <c r="L17">
        <v>0.68200000000000005</v>
      </c>
    </row>
    <row r="18" spans="1:12" x14ac:dyDescent="0.3">
      <c r="A18">
        <f>Table2_2[[#This Row],[PWM Values]]/$A$1</f>
        <v>0.99</v>
      </c>
      <c r="B18">
        <v>1980</v>
      </c>
      <c r="C18">
        <f t="shared" si="0"/>
        <v>1.98</v>
      </c>
      <c r="E18">
        <f t="shared" si="4"/>
        <v>0.64</v>
      </c>
      <c r="F18">
        <f t="shared" si="2"/>
        <v>1280</v>
      </c>
      <c r="G18">
        <f t="shared" si="5"/>
        <v>4.95</v>
      </c>
      <c r="I18">
        <v>0.99</v>
      </c>
      <c r="J18">
        <f t="shared" si="6"/>
        <v>1980</v>
      </c>
      <c r="K18">
        <v>0.99</v>
      </c>
      <c r="L18">
        <v>0.72400000000000009</v>
      </c>
    </row>
    <row r="19" spans="1:12" x14ac:dyDescent="0.3">
      <c r="A19">
        <f>Table2_2[[#This Row],[PWM Values]]/$A$1</f>
        <v>0.99</v>
      </c>
      <c r="B19">
        <v>1980</v>
      </c>
      <c r="C19">
        <f t="shared" si="0"/>
        <v>1.98</v>
      </c>
      <c r="E19">
        <f t="shared" si="4"/>
        <v>0.68200000000000005</v>
      </c>
      <c r="F19">
        <f t="shared" si="2"/>
        <v>1364</v>
      </c>
      <c r="G19">
        <f t="shared" si="5"/>
        <v>4.95</v>
      </c>
      <c r="I19">
        <v>0.99</v>
      </c>
      <c r="J19">
        <f t="shared" si="6"/>
        <v>1980</v>
      </c>
      <c r="K19">
        <v>0.99</v>
      </c>
      <c r="L19">
        <v>0.76600000000000013</v>
      </c>
    </row>
    <row r="20" spans="1:12" x14ac:dyDescent="0.3">
      <c r="A20">
        <f>Table2_2[[#This Row],[PWM Values]]/$A$1</f>
        <v>0.99</v>
      </c>
      <c r="B20">
        <v>1980</v>
      </c>
      <c r="C20">
        <f t="shared" si="0"/>
        <v>1.98</v>
      </c>
      <c r="E20">
        <f t="shared" si="4"/>
        <v>0.72400000000000009</v>
      </c>
      <c r="F20">
        <f t="shared" si="2"/>
        <v>1448.0000000000002</v>
      </c>
      <c r="G20">
        <f t="shared" si="5"/>
        <v>4.95</v>
      </c>
      <c r="I20">
        <v>0.99</v>
      </c>
      <c r="J20">
        <f t="shared" si="6"/>
        <v>1980</v>
      </c>
      <c r="K20">
        <v>0.99</v>
      </c>
      <c r="L20">
        <v>0.80800000000000016</v>
      </c>
    </row>
    <row r="21" spans="1:12" x14ac:dyDescent="0.3">
      <c r="A21">
        <f>Table2_2[[#This Row],[PWM Values]]/$A$1</f>
        <v>0.88400000000000001</v>
      </c>
      <c r="B21">
        <v>1768</v>
      </c>
      <c r="C21">
        <f t="shared" si="0"/>
        <v>1.768</v>
      </c>
      <c r="E21">
        <f t="shared" si="4"/>
        <v>0.76600000000000013</v>
      </c>
      <c r="F21">
        <f t="shared" si="2"/>
        <v>1532.0000000000002</v>
      </c>
      <c r="G21">
        <f t="shared" si="5"/>
        <v>4.42</v>
      </c>
      <c r="I21">
        <v>0.99</v>
      </c>
      <c r="J21">
        <f t="shared" si="6"/>
        <v>1980</v>
      </c>
      <c r="K21">
        <v>0.99</v>
      </c>
      <c r="L21">
        <v>0.8500000000000002</v>
      </c>
    </row>
    <row r="22" spans="1:12" x14ac:dyDescent="0.3">
      <c r="A22">
        <f>Table2_2[[#This Row],[PWM Values]]/$A$1</f>
        <v>0.86599999999999999</v>
      </c>
      <c r="B22">
        <v>1732</v>
      </c>
      <c r="C22">
        <f t="shared" si="0"/>
        <v>1.732</v>
      </c>
      <c r="E22">
        <f t="shared" si="4"/>
        <v>0.80800000000000016</v>
      </c>
      <c r="F22">
        <f t="shared" si="2"/>
        <v>1616.0000000000002</v>
      </c>
      <c r="G22">
        <f t="shared" si="5"/>
        <v>4.33</v>
      </c>
      <c r="I22">
        <v>0.99</v>
      </c>
      <c r="J22">
        <f t="shared" si="6"/>
        <v>1980</v>
      </c>
      <c r="K22">
        <v>0.99</v>
      </c>
      <c r="L22">
        <v>0.89200000000000024</v>
      </c>
    </row>
    <row r="23" spans="1:12" x14ac:dyDescent="0.3">
      <c r="A23">
        <f>Table2_2[[#This Row],[PWM Values]]/$A$1</f>
        <v>0.5</v>
      </c>
      <c r="B23">
        <v>1000</v>
      </c>
      <c r="C23">
        <f t="shared" si="0"/>
        <v>1</v>
      </c>
      <c r="E23">
        <f t="shared" si="4"/>
        <v>0.8500000000000002</v>
      </c>
      <c r="F23">
        <f t="shared" si="2"/>
        <v>1700.0000000000005</v>
      </c>
      <c r="G23">
        <f t="shared" si="5"/>
        <v>2.5</v>
      </c>
      <c r="I23">
        <v>0.64</v>
      </c>
      <c r="J23">
        <f t="shared" si="6"/>
        <v>1280</v>
      </c>
      <c r="K23">
        <v>0.64</v>
      </c>
      <c r="L23">
        <v>0.93400000000000027</v>
      </c>
    </row>
    <row r="24" spans="1:12" x14ac:dyDescent="0.3">
      <c r="A24">
        <f>Table2_2[[#This Row],[PWM Values]]/$A$1</f>
        <v>0.25</v>
      </c>
      <c r="B24">
        <v>500</v>
      </c>
      <c r="C24">
        <f t="shared" si="0"/>
        <v>0.5</v>
      </c>
      <c r="E24">
        <f t="shared" si="4"/>
        <v>0.89200000000000024</v>
      </c>
      <c r="F24">
        <f t="shared" si="2"/>
        <v>1784.0000000000005</v>
      </c>
      <c r="G24">
        <f t="shared" si="5"/>
        <v>1.25</v>
      </c>
      <c r="I24">
        <v>0.68200000000000005</v>
      </c>
      <c r="J24">
        <f t="shared" si="6"/>
        <v>1364</v>
      </c>
      <c r="K24">
        <v>0.68200000000000005</v>
      </c>
      <c r="L24">
        <v>0.97600000000000031</v>
      </c>
    </row>
    <row r="25" spans="1:12" x14ac:dyDescent="0.3">
      <c r="A25">
        <f>Table2_2[[#This Row],[PWM Values]]/$A$1</f>
        <v>0.05</v>
      </c>
      <c r="B25">
        <v>100</v>
      </c>
      <c r="C25">
        <f t="shared" si="0"/>
        <v>0.1</v>
      </c>
      <c r="E25">
        <f t="shared" si="4"/>
        <v>0.93400000000000027</v>
      </c>
      <c r="F25">
        <f t="shared" si="2"/>
        <v>1868.0000000000005</v>
      </c>
      <c r="G25">
        <f t="shared" si="5"/>
        <v>0.25</v>
      </c>
      <c r="I25">
        <f>I24+$G$1</f>
        <v>0.72400000000000009</v>
      </c>
      <c r="J25">
        <f t="shared" si="6"/>
        <v>1448.0000000000002</v>
      </c>
      <c r="K25">
        <v>0.72400000000000009</v>
      </c>
      <c r="L25">
        <v>0.80800000000000016</v>
      </c>
    </row>
    <row r="26" spans="1:12" x14ac:dyDescent="0.3">
      <c r="A26">
        <f>Table2_2[[#This Row],[PWM Values]]/$A$1</f>
        <v>0.02</v>
      </c>
      <c r="B26">
        <v>40</v>
      </c>
      <c r="C26">
        <f t="shared" si="0"/>
        <v>0.04</v>
      </c>
      <c r="E26">
        <f t="shared" si="4"/>
        <v>0.97600000000000031</v>
      </c>
      <c r="F26">
        <f t="shared" si="2"/>
        <v>1952.0000000000007</v>
      </c>
      <c r="G26">
        <f t="shared" si="5"/>
        <v>0.1</v>
      </c>
      <c r="I26">
        <v>0.59799999999999998</v>
      </c>
      <c r="J26">
        <f t="shared" si="6"/>
        <v>1196</v>
      </c>
      <c r="K26">
        <v>0.59799999999999998</v>
      </c>
      <c r="L26">
        <v>0.68200000000000005</v>
      </c>
    </row>
    <row r="27" spans="1:12" ht="302.39999999999998" x14ac:dyDescent="0.3">
      <c r="F27" s="17" t="str">
        <f>"{ "&amp;F3&amp;" , "&amp;F4&amp;" , "&amp;F5&amp;" , "&amp;F6&amp;" , "&amp;F7&amp;" , "&amp;F8&amp;" , "&amp;F9&amp;" , "&amp;F10&amp;" , "&amp;F11&amp;" , "&amp;F12&amp;" , "&amp;F13&amp;" , "&amp;F14&amp;" , "&amp;F15&amp;" , "&amp;F16&amp;" , "&amp;F17&amp;" , "&amp;F18&amp;" , "&amp;F19&amp;" , "&amp;F20&amp;" , "&amp;F21&amp;" , "&amp;F22&amp;" , "&amp;F23&amp;" , "&amp;F24&amp;" , "&amp;F25&amp;" , "&amp;F26&amp;" };"</f>
        <v>{ 20 , 104 , 188 , 272 , 356 , 440 , 524 , 608 , 692 , 776 , 860 , 944 , 1028 , 1112 , 1196 , 1280 , 1364 , 1448 , 1532 , 1616 , 1700 , 1784 , 1868 , 1952 };</v>
      </c>
      <c r="J27" s="17" t="str">
        <f>"{ "&amp;J3&amp;" , "&amp;J4&amp;" , "&amp;J5&amp;" , "&amp;J6&amp;" , "&amp;J7&amp;" , "&amp;J8&amp;" , "&amp;J9&amp;" , "&amp;J10&amp;" , "&amp;J11&amp;" , "&amp;J12&amp;" , "&amp;J13&amp;" , "&amp;J14&amp;" , "&amp;J15&amp;" , "&amp;J16&amp;" , "&amp;J17&amp;" , "&amp;J18&amp;" , "&amp;J19&amp;" , "&amp;J20&amp;" , "&amp;J21&amp;" , "&amp;J22&amp;" , "&amp;J23&amp;" , "&amp;J24&amp;" , "&amp;J25&amp;" , "&amp;J26&amp;" };"</f>
        <v>{ 1028 , 1112 , 1196 , 1280 , 20 , 20 , 20 , 40 , 40 , 1364 , 1448 , 1532 , 1112 , 1196 , 1980 , 1980 , 1980 , 1980 , 1980 , 1980 , 1280 , 1364 , 1448 , 1196 };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ED076-C1DA-41CF-BFAB-2FE1CD21DEDD}">
  <dimension ref="A1:A2"/>
  <sheetViews>
    <sheetView workbookViewId="0">
      <selection sqref="A1:A2"/>
    </sheetView>
  </sheetViews>
  <sheetFormatPr defaultRowHeight="14.4" x14ac:dyDescent="0.3"/>
  <cols>
    <col min="1" max="1" width="12" bestFit="1" customWidth="1"/>
  </cols>
  <sheetData>
    <row r="1" spans="1:1" x14ac:dyDescent="0.3">
      <c r="A1" t="s">
        <v>17</v>
      </c>
    </row>
    <row r="2" spans="1:1" x14ac:dyDescent="0.3">
      <c r="A2" t="s">
        <v>31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CDD6C9D-3569-442D-A66F-625DE9CAE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volt-var_test1</vt:lpstr>
      <vt:lpstr>volt-var_test2</vt:lpstr>
      <vt:lpstr>Sheet9</vt:lpstr>
      <vt:lpstr>Sheet8</vt:lpstr>
      <vt:lpstr>Sheet6</vt:lpstr>
      <vt:lpstr>ChopperCases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Oriana</dc:creator>
  <cp:lastModifiedBy>Oriana</cp:lastModifiedBy>
  <dcterms:created xsi:type="dcterms:W3CDTF">2018-07-01T20:24:05Z</dcterms:created>
  <dcterms:modified xsi:type="dcterms:W3CDTF">2018-07-27T01:48:20Z</dcterms:modified>
</cp:coreProperties>
</file>